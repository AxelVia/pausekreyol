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ES" sheetId="1" state="visible" r:id="rId3"/>
    <sheet name="BUDGET MAITRE" sheetId="2" state="visible" r:id="rId4"/>
    <sheet name="SALAIRES CHARGES" sheetId="3" state="visible" r:id="rId5"/>
    <sheet name="ETPT" sheetId="4" state="visible" r:id="rId6"/>
    <sheet name="MAIRIE DE PARIS" sheetId="5" state="visible" r:id="rId7"/>
    <sheet name="BUDGET PARTENAIRES" sheetId="6" state="visible" r:id="rId8"/>
    <sheet name="BILAN ASS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<sst xmlns="http://schemas.openxmlformats.org/spreadsheetml/2006/main" count="331" uniqueCount="287">
  <si>
    <t xml:space="preserve">PARAMÈTRES DU PROJET — Saisir ici, tout se propage automatiquement</t>
  </si>
  <si>
    <t xml:space="preserve">Texte bleu = saisie  |  Texte vert = lien auto  |  Texte noir = formule</t>
  </si>
  <si>
    <t xml:space="preserve">Nom du projet</t>
  </si>
  <si>
    <t xml:space="preserve">TAUX DE CHARGES</t>
  </si>
  <si>
    <t xml:space="preserve">Taux</t>
  </si>
  <si>
    <t xml:space="preserve">Nom de l'association porteuse</t>
  </si>
  <si>
    <t xml:space="preserve">Intermittents GUSO (tout compris)</t>
  </si>
  <si>
    <t xml:space="preserve">SIRET</t>
  </si>
  <si>
    <t xml:space="preserve">Intermittents DPAE</t>
  </si>
  <si>
    <t xml:space="preserve">N° licence entrepreneur du spectacle</t>
  </si>
  <si>
    <t xml:space="preserve">Salariés CDI/CDD</t>
  </si>
  <si>
    <t xml:space="preserve">Date de début</t>
  </si>
  <si>
    <t xml:space="preserve">Artistes-auteurs contrib. diffuseur</t>
  </si>
  <si>
    <t xml:space="preserve">Date de fin</t>
  </si>
  <si>
    <t xml:space="preserve">Taux horaire bénévolat SMIC</t>
  </si>
  <si>
    <t xml:space="preserve">Lieu(x) de réalisation</t>
  </si>
  <si>
    <t xml:space="preserve">Code appel à projets (ex: HHP26S2)</t>
  </si>
  <si>
    <t xml:space="preserve">STRUCTURE PORTEUSE</t>
  </si>
  <si>
    <t xml:space="preserve">Responsable légal</t>
  </si>
  <si>
    <t xml:space="preserve">Fonction</t>
  </si>
  <si>
    <t xml:space="preserve">Email</t>
  </si>
  <si>
    <t xml:space="preserve">Téléphone</t>
  </si>
  <si>
    <t xml:space="preserve">Adresse siège</t>
  </si>
  <si>
    <t xml:space="preserve">BUDGET PRÉVISIONNEL — SUIVI INTERNE DÉTAILLÉ</t>
  </si>
  <si>
    <t xml:space="preserve">Projet :</t>
  </si>
  <si>
    <t xml:space="preserve">Association :</t>
  </si>
  <si>
    <t xml:space="preserve">CHARGES</t>
  </si>
  <si>
    <t xml:space="preserve">PRODUITS / RECETTES</t>
  </si>
  <si>
    <t xml:space="preserve">CHARGES DIRECTES</t>
  </si>
  <si>
    <t xml:space="preserve">Ventes et recettes propres</t>
  </si>
  <si>
    <t xml:space="preserve">Achats</t>
  </si>
  <si>
    <t xml:space="preserve">Ventes produits / prestations</t>
  </si>
  <si>
    <t xml:space="preserve">Services : captation, photos, outils</t>
  </si>
  <si>
    <t xml:space="preserve">Concours publics / prix</t>
  </si>
  <si>
    <t xml:space="preserve">Fournitures : trophées, collation</t>
  </si>
  <si>
    <t xml:space="preserve">Billetterie</t>
  </si>
  <si>
    <t xml:space="preserve">Autres achats</t>
  </si>
  <si>
    <t xml:space="preserve">Autres recettes</t>
  </si>
  <si>
    <t xml:space="preserve">s/t Achats</t>
  </si>
  <si>
    <t xml:space="preserve">s/t Ventes et recettes propres</t>
  </si>
  <si>
    <t xml:space="preserve">Services extérieurs</t>
  </si>
  <si>
    <t xml:space="preserve">Subventions publiques</t>
  </si>
  <si>
    <t xml:space="preserve">Locations salles et matériel</t>
  </si>
  <si>
    <t xml:space="preserve">État — ministères / DRAC</t>
  </si>
  <si>
    <t xml:space="preserve">Assurance</t>
  </si>
  <si>
    <t xml:space="preserve">Région(s)</t>
  </si>
  <si>
    <t xml:space="preserve">Documentation</t>
  </si>
  <si>
    <t xml:space="preserve">Département(s)</t>
  </si>
  <si>
    <t xml:space="preserve">Communication et ateliers</t>
  </si>
  <si>
    <t xml:space="preserve">Commune(s) / Mairie</t>
  </si>
  <si>
    <t xml:space="preserve">Médiation post-projet</t>
  </si>
  <si>
    <t xml:space="preserve">Ville de Paris (AAP Hip-Hop)</t>
  </si>
  <si>
    <t xml:space="preserve">s/t Services extérieurs</t>
  </si>
  <si>
    <t xml:space="preserve">Organismes sociaux (CAF…)</t>
  </si>
  <si>
    <t xml:space="preserve">Autres services extérieurs</t>
  </si>
  <si>
    <t xml:space="preserve">Fonds européens</t>
  </si>
  <si>
    <t xml:space="preserve">Rémunérations / honoraires coordination</t>
  </si>
  <si>
    <t xml:space="preserve">Autres établissements publics</t>
  </si>
  <si>
    <t xml:space="preserve">Publicité et publication</t>
  </si>
  <si>
    <t xml:space="preserve">s/t Subventions publiques</t>
  </si>
  <si>
    <t xml:space="preserve">Autres</t>
  </si>
  <si>
    <t xml:space="preserve">Financements privés</t>
  </si>
  <si>
    <t xml:space="preserve">s/t Autres services extérieurs</t>
  </si>
  <si>
    <t xml:space="preserve">Mécénat / fondations</t>
  </si>
  <si>
    <t xml:space="preserve">Impôts et taxes</t>
  </si>
  <si>
    <t xml:space="preserve">Partenaires culturels privés</t>
  </si>
  <si>
    <t xml:space="preserve">Taxes diverses</t>
  </si>
  <si>
    <t xml:space="preserve">SACEM, ADAMI, SPEDIDAM…</t>
  </si>
  <si>
    <t xml:space="preserve">s/t Impôts et taxes</t>
  </si>
  <si>
    <t xml:space="preserve">Charges exceptionnelles</t>
  </si>
  <si>
    <t xml:space="preserve">s/t Financements privés</t>
  </si>
  <si>
    <t xml:space="preserve">Imprévus</t>
  </si>
  <si>
    <t xml:space="preserve">Autres produits</t>
  </si>
  <si>
    <t xml:space="preserve">s/t Charges exceptionnelles</t>
  </si>
  <si>
    <t xml:space="preserve">Cotisations / dons / legs</t>
  </si>
  <si>
    <t xml:space="preserve">CHARGES INDIRECTES</t>
  </si>
  <si>
    <t xml:space="preserve">Produits exceptionnels</t>
  </si>
  <si>
    <t xml:space="preserve">Charges fixes affectées au projet</t>
  </si>
  <si>
    <t xml:space="preserve">Transferts de charges</t>
  </si>
  <si>
    <t xml:space="preserve">Quote-part loyer / locaux</t>
  </si>
  <si>
    <t xml:space="preserve">s/t Autres produits</t>
  </si>
  <si>
    <t xml:space="preserve">Quote-part télécoms</t>
  </si>
  <si>
    <t xml:space="preserve">Ressources affectées</t>
  </si>
  <si>
    <t xml:space="preserve">Quote-part comptabilité</t>
  </si>
  <si>
    <t xml:space="preserve">Ressources propres affectées</t>
  </si>
  <si>
    <t xml:space="preserve">s/t Charges fixes affectées au p</t>
  </si>
  <si>
    <t xml:space="preserve">s/t Ressources affectées</t>
  </si>
  <si>
    <t xml:space="preserve">TOTAL DES CHARGES</t>
  </si>
  <si>
    <t xml:space="preserve">TOTAL DES PRODUITS</t>
  </si>
  <si>
    <t xml:space="preserve">Mise à disp. gratuite de biens/services</t>
  </si>
  <si>
    <t xml:space="preserve">Personnel bénévole</t>
  </si>
  <si>
    <t xml:space="preserve">Total contributions volontaires</t>
  </si>
  <si>
    <t xml:space="preserve">MODULE SALAIRES &amp; CHARGES PATRONALES</t>
  </si>
  <si>
    <t xml:space="preserve">Bleu = saisir  |  Noir = calcul auto  |  Taux modifiables dans onglet PARAMETRES</t>
  </si>
  <si>
    <t xml:space="preserve">INTERMITTENTS — GUSO</t>
  </si>
  <si>
    <t xml:space="preserve">Nom / Artiste</t>
  </si>
  <si>
    <t xml:space="preserve">Rôle</t>
  </si>
  <si>
    <t xml:space="preserve">Nb jours</t>
  </si>
  <si>
    <t xml:space="preserve">Cachet/jour €</t>
  </si>
  <si>
    <t xml:space="preserve">Brut total</t>
  </si>
  <si>
    <t xml:space="preserve">Charges GUSO (~40%)</t>
  </si>
  <si>
    <t xml:space="preserve">Coût total employeur</t>
  </si>
  <si>
    <t xml:space="preserve">ETPT</t>
  </si>
  <si>
    <t xml:space="preserve">Statut</t>
  </si>
  <si>
    <t xml:space="preserve">Intermittent GUSO</t>
  </si>
  <si>
    <t xml:space="preserve">TOTAL GUSO — Brut</t>
  </si>
  <si>
    <t xml:space="preserve">ARTISTES-AUTEURS — DROITS D'AUTEUR</t>
  </si>
  <si>
    <t xml:space="preserve">Nom / Auteur</t>
  </si>
  <si>
    <t xml:space="preserve">Type d'œuvre</t>
  </si>
  <si>
    <t xml:space="preserve">Nb représent.</t>
  </si>
  <si>
    <t xml:space="preserve">Montant HT</t>
  </si>
  <si>
    <t xml:space="preserve">Total HT</t>
  </si>
  <si>
    <t xml:space="preserve">Contrib. diff. 1,1%</t>
  </si>
  <si>
    <t xml:space="preserve">Coût total</t>
  </si>
  <si>
    <t xml:space="preserve">Note</t>
  </si>
  <si>
    <t xml:space="preserve">Contrat cession/licence</t>
  </si>
  <si>
    <t xml:space="preserve">Artiste-auteur</t>
  </si>
  <si>
    <t xml:space="preserve">TOTAL ARTISTES-AUTEURS</t>
  </si>
  <si>
    <t xml:space="preserve">RÉCAPITULATIF GLOBAL</t>
  </si>
  <si>
    <t xml:space="preserve">GUSO — Brut total</t>
  </si>
  <si>
    <t xml:space="preserve">GUSO — Charges</t>
  </si>
  <si>
    <t xml:space="preserve">GUSO — Coût employeur</t>
  </si>
  <si>
    <t xml:space="preserve">Artistes-auteurs — HT total</t>
  </si>
  <si>
    <t xml:space="preserve">Artistes-auteurs — Contribution diff.</t>
  </si>
  <si>
    <t xml:space="preserve">Artistes-auteurs — Coût total</t>
  </si>
  <si>
    <t xml:space="preserve">TOTAL COÛT EMPLOYEUR GLOBAL</t>
  </si>
  <si>
    <t xml:space="preserve">TABLEAU DES MOYENS HUMAINS — ETPT</t>
  </si>
  <si>
    <t xml:space="preserve">ETPT = Nb jours ÷ 218  |  218 jours = référence annuelle conventions collectives spectacle</t>
  </si>
  <si>
    <t xml:space="preserve">ETPT — PROJET ARTISTIQUE</t>
  </si>
  <si>
    <t xml:space="preserve">Nom / Fonction</t>
  </si>
  <si>
    <t xml:space="preserve">Quotité %</t>
  </si>
  <si>
    <t xml:space="preserve">Nb jours projet</t>
  </si>
  <si>
    <t xml:space="preserve">Nb heures proj.</t>
  </si>
  <si>
    <t xml:space="preserve">ETPT projet</t>
  </si>
  <si>
    <t xml:space="preserve">Observations</t>
  </si>
  <si>
    <t xml:space="preserve">TOTAL ETPT PROJET</t>
  </si>
  <si>
    <t xml:space="preserve">ETPT — ASSOCIATION (hors projet)</t>
  </si>
  <si>
    <t xml:space="preserve">Nom / Poste</t>
  </si>
  <si>
    <t xml:space="preserve">Nb jours/an</t>
  </si>
  <si>
    <t xml:space="preserve">Nb heures/an</t>
  </si>
  <si>
    <t xml:space="preserve">ETPT asso</t>
  </si>
  <si>
    <t xml:space="preserve">CDI / CDD / Bénévole</t>
  </si>
  <si>
    <t xml:space="preserve">TOTAL ETPT ASSOCIATION</t>
  </si>
  <si>
    <t xml:space="preserve">BÉNÉVOLES — Valorisation au SMIC horaire</t>
  </si>
  <si>
    <t xml:space="preserve">Nom / Rôle</t>
  </si>
  <si>
    <t xml:space="preserve">Mission</t>
  </si>
  <si>
    <t xml:space="preserve">Nb heures</t>
  </si>
  <si>
    <t xml:space="preserve">Taux SMIC €/h</t>
  </si>
  <si>
    <t xml:space="preserve">Valorisation €</t>
  </si>
  <si>
    <t xml:space="preserve">ETPT équiv.</t>
  </si>
  <si>
    <t xml:space="preserve">TOTAL BÉNÉVOLES VALORISÉS</t>
  </si>
  <si>
    <t xml:space="preserve">MATRICE BUDGÉTAIRE — VILLE DE PARIS  ·  Format officiel HHP26S2</t>
  </si>
  <si>
    <t xml:space="preserve">Nom de la structure :</t>
  </si>
  <si>
    <t xml:space="preserve">Nom du projet :</t>
  </si>
  <si>
    <t xml:space="preserve">⚠️  Le budget doit être ÉQUILIBRÉ en charges et en produits au niveau des sous-totaux et du total général</t>
  </si>
  <si>
    <t xml:space="preserve">CHARGES — NUMÉRAIRE</t>
  </si>
  <si>
    <t xml:space="preserve">PRODUITS — NUMÉRAIRE</t>
  </si>
  <si>
    <t xml:space="preserve">Artistiques</t>
  </si>
  <si>
    <t xml:space="preserve">Ressources propres</t>
  </si>
  <si>
    <t xml:space="preserve">Cachets</t>
  </si>
  <si>
    <t xml:space="preserve">Autoproduction, réserves</t>
  </si>
  <si>
    <t xml:space="preserve">Droits d'auteur</t>
  </si>
  <si>
    <t xml:space="preserve">Cession</t>
  </si>
  <si>
    <t xml:space="preserve">Total Artistiques</t>
  </si>
  <si>
    <t xml:space="preserve">Technique</t>
  </si>
  <si>
    <t xml:space="preserve">Total Ressources propres</t>
  </si>
  <si>
    <t xml:space="preserve">Charges de personnel</t>
  </si>
  <si>
    <t xml:space="preserve">Prestations de services</t>
  </si>
  <si>
    <t xml:space="preserve">Ville de Paris</t>
  </si>
  <si>
    <t xml:space="preserve">DRAC</t>
  </si>
  <si>
    <t xml:space="preserve">Total Technique</t>
  </si>
  <si>
    <t xml:space="preserve">CNM</t>
  </si>
  <si>
    <t xml:space="preserve">Matériel et logistique</t>
  </si>
  <si>
    <t xml:space="preserve">Région</t>
  </si>
  <si>
    <t xml:space="preserve">Prestations de services et locations</t>
  </si>
  <si>
    <t xml:space="preserve">Transport</t>
  </si>
  <si>
    <t xml:space="preserve">Total Subventions publiques</t>
  </si>
  <si>
    <t xml:space="preserve">Total Matériel et logistique</t>
  </si>
  <si>
    <t xml:space="preserve">Mécénat</t>
  </si>
  <si>
    <t xml:space="preserve">Administration</t>
  </si>
  <si>
    <t xml:space="preserve">Sociétés de gestion (SACEM…)</t>
  </si>
  <si>
    <t xml:space="preserve">Communication</t>
  </si>
  <si>
    <t xml:space="preserve">Total Financements privés</t>
  </si>
  <si>
    <t xml:space="preserve">Impôts et taxes, droits divers</t>
  </si>
  <si>
    <t xml:space="preserve">Total Administration</t>
  </si>
  <si>
    <t xml:space="preserve">SOUS-TOTAL NUMÉRAIRE CHARGES</t>
  </si>
  <si>
    <t xml:space="preserve">SOUS-TOTAL NUMÉRAIRE PRODUITS</t>
  </si>
  <si>
    <t xml:space="preserve">VALORISATION — Contributions volontaires en nature</t>
  </si>
  <si>
    <t xml:space="preserve">Bénévoles</t>
  </si>
  <si>
    <t xml:space="preserve">Apport en nature et industrie</t>
  </si>
  <si>
    <t xml:space="preserve">Sous-total valorisation</t>
  </si>
  <si>
    <t xml:space="preserve">TOTAL GÉNÉRAL CHARGES</t>
  </si>
  <si>
    <t xml:space="preserve">TOTAL GÉNÉRAL PRODUITS</t>
  </si>
  <si>
    <t xml:space="preserve">BUDGET SYNTHÉTIQUE — PARTENAIRES &amp; CO-PRODUCTEURS</t>
  </si>
  <si>
    <t xml:space="preserve">Version simplifiée à partager avec les partenaires — sans détail prestataires</t>
  </si>
  <si>
    <t xml:space="preserve">RECETTES</t>
  </si>
  <si>
    <t xml:space="preserve">Artistique (cachets, droits, intervenants)</t>
  </si>
  <si>
    <t xml:space="preserve">Subventions publiques obtenues</t>
  </si>
  <si>
    <t xml:space="preserve">Technique (son, lumière, captation)</t>
  </si>
  <si>
    <t xml:space="preserve">Subventions en cours</t>
  </si>
  <si>
    <t xml:space="preserve">Communication et promotion</t>
  </si>
  <si>
    <t xml:space="preserve">Coproductions confirmées</t>
  </si>
  <si>
    <t xml:space="preserve">Administration et coordination</t>
  </si>
  <si>
    <t xml:space="preserve">Billetterie prévisionnelle</t>
  </si>
  <si>
    <t xml:space="preserve">Déplacements et hébergement</t>
  </si>
  <si>
    <t xml:space="preserve">Mécénat et partenariats</t>
  </si>
  <si>
    <t xml:space="preserve">Divers et imprévus</t>
  </si>
  <si>
    <t xml:space="preserve">Apport structure porteuse</t>
  </si>
  <si>
    <t xml:space="preserve">TOTAL CHARGES</t>
  </si>
  <si>
    <t xml:space="preserve">TOTAL RECETTES</t>
  </si>
  <si>
    <t xml:space="preserve">COMPTE DE RÉSULTAT PRÉVISIONNEL — ASSOCIATION LOI 1901</t>
  </si>
  <si>
    <t xml:space="preserve">PRODUITS</t>
  </si>
  <si>
    <t xml:space="preserve">60 — Achats</t>
  </si>
  <si>
    <t xml:space="preserve">70 — Ventes et prestations</t>
  </si>
  <si>
    <t xml:space="preserve">601 Matières premières</t>
  </si>
  <si>
    <t xml:space="preserve">701 Ventes produits finis</t>
  </si>
  <si>
    <t xml:space="preserve">606 Fournitures</t>
  </si>
  <si>
    <t xml:space="preserve">706 Prestations</t>
  </si>
  <si>
    <t xml:space="preserve">607 Achats marchandises</t>
  </si>
  <si>
    <t xml:space="preserve">707 Marchandises</t>
  </si>
  <si>
    <t xml:space="preserve">s/t 60 — Achats</t>
  </si>
  <si>
    <t xml:space="preserve">s/t 70 — Ventes et prestations</t>
  </si>
  <si>
    <t xml:space="preserve">61/62 — Services extérieurs</t>
  </si>
  <si>
    <t xml:space="preserve">74 — Subventions exploitation</t>
  </si>
  <si>
    <t xml:space="preserve">611 Sous-traitance</t>
  </si>
  <si>
    <t xml:space="preserve">7411 État</t>
  </si>
  <si>
    <t xml:space="preserve">613 Locations</t>
  </si>
  <si>
    <t xml:space="preserve">7412 Régions</t>
  </si>
  <si>
    <t xml:space="preserve">615 Entretiens et réparations</t>
  </si>
  <si>
    <t xml:space="preserve">7413 Départements</t>
  </si>
  <si>
    <t xml:space="preserve">616 Assurances</t>
  </si>
  <si>
    <t xml:space="preserve">7414 Communes</t>
  </si>
  <si>
    <t xml:space="preserve">617 Documentation</t>
  </si>
  <si>
    <t xml:space="preserve">7415 Établissements publics</t>
  </si>
  <si>
    <t xml:space="preserve">622 Honoraires et intermédiaires</t>
  </si>
  <si>
    <t xml:space="preserve">7417 Organismes sociaux</t>
  </si>
  <si>
    <t xml:space="preserve">623 Publicité</t>
  </si>
  <si>
    <t xml:space="preserve">7418 Autres</t>
  </si>
  <si>
    <t xml:space="preserve">625 Déplacements et missions</t>
  </si>
  <si>
    <t xml:space="preserve">s/t 74 — Subventions exploitat</t>
  </si>
  <si>
    <t xml:space="preserve">626 Frais télécoms</t>
  </si>
  <si>
    <t xml:space="preserve">75 — Autres produits gestion</t>
  </si>
  <si>
    <t xml:space="preserve">628 Autres</t>
  </si>
  <si>
    <t xml:space="preserve">751 Redevances</t>
  </si>
  <si>
    <t xml:space="preserve">s/t 61/62 — Services extérieur</t>
  </si>
  <si>
    <t xml:space="preserve">754 Cotisations et dons</t>
  </si>
  <si>
    <t xml:space="preserve">63 — Impôts et taxes</t>
  </si>
  <si>
    <t xml:space="preserve">758 Produits divers</t>
  </si>
  <si>
    <t xml:space="preserve">631 Impôts et taxes assimilés</t>
  </si>
  <si>
    <t xml:space="preserve">s/t 75 — Autres produits gesti</t>
  </si>
  <si>
    <t xml:space="preserve">s/t 63 — Impôts et taxes</t>
  </si>
  <si>
    <t xml:space="preserve">76 — Produits financiers</t>
  </si>
  <si>
    <t xml:space="preserve">64 — Charges de personnel</t>
  </si>
  <si>
    <t xml:space="preserve">764 Revenus valeurs mobilières</t>
  </si>
  <si>
    <t xml:space="preserve">641 Salaires et traitements</t>
  </si>
  <si>
    <t xml:space="preserve">768 Autres</t>
  </si>
  <si>
    <t xml:space="preserve">645 Charges séc. sociale</t>
  </si>
  <si>
    <t xml:space="preserve">s/t 76 — Produits financiers</t>
  </si>
  <si>
    <t xml:space="preserve">647 Autres charges sociales</t>
  </si>
  <si>
    <t xml:space="preserve">77 — Produits exceptionnels</t>
  </si>
  <si>
    <t xml:space="preserve">s/t 64 — Charges de personnel</t>
  </si>
  <si>
    <t xml:space="preserve">771 Produits except. gestion</t>
  </si>
  <si>
    <t xml:space="preserve">65 — Autres charges</t>
  </si>
  <si>
    <t xml:space="preserve">778 Autres</t>
  </si>
  <si>
    <t xml:space="preserve">654 Pertes sur créances</t>
  </si>
  <si>
    <t xml:space="preserve">s/t 77 — Produits exceptionnel</t>
  </si>
  <si>
    <t xml:space="preserve">658 Charges diverses gestion</t>
  </si>
  <si>
    <t xml:space="preserve">78 — Reprises provisions</t>
  </si>
  <si>
    <t xml:space="preserve">s/t 65 — Autres charges</t>
  </si>
  <si>
    <t xml:space="preserve">781 Reprises amortissements</t>
  </si>
  <si>
    <t xml:space="preserve">66 — Charges financières</t>
  </si>
  <si>
    <t xml:space="preserve">786 Reprises provisions</t>
  </si>
  <si>
    <t xml:space="preserve">661 Charges d'intérêts</t>
  </si>
  <si>
    <t xml:space="preserve">s/t 78 — Reprises provisions</t>
  </si>
  <si>
    <t xml:space="preserve">668 Autres charges financières</t>
  </si>
  <si>
    <t xml:space="preserve">79 — Transferts de charges</t>
  </si>
  <si>
    <t xml:space="preserve">s/t 66 — Charges financières</t>
  </si>
  <si>
    <t xml:space="preserve">791 Transferts charges exploitation</t>
  </si>
  <si>
    <t xml:space="preserve">67 — Charges exceptionnelles</t>
  </si>
  <si>
    <t xml:space="preserve">s/t 79 — Transferts de charges</t>
  </si>
  <si>
    <t xml:space="preserve">671 Charges except. gestion</t>
  </si>
  <si>
    <t xml:space="preserve">678 Autres</t>
  </si>
  <si>
    <t xml:space="preserve">s/t 67 — Charges exceptionnell</t>
  </si>
  <si>
    <t xml:space="preserve">68 — Dotations</t>
  </si>
  <si>
    <t xml:space="preserve">681 Dotations amortissements</t>
  </si>
  <si>
    <t xml:space="preserve">686 Dotations provisions</t>
  </si>
  <si>
    <t xml:space="preserve">s/t 68 — Dotations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</si>
</sst>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.00&quot; €/h&quot;"/>
    <numFmt numFmtId="167" formatCode="General"/>
    <numFmt numFmtId="168" formatCode="#,##0&quot; €&quot;;\(#,##0&quot; €)&quot;;\-"/>
    <numFmt numFmtId="169" formatCode="#,##0&quot; €&quot;"/>
    <numFmt numFmtId="170" formatCode="0.000"/>
    <numFmt numFmtId="171" formatCode="#,##0.00&quot; €&quot;"/>
    <numFmt numFmtId="172" formatCode="0%"/>
    <numFmt numFmtId="173" formatCode="0.0&quot; h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88878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4A2C82"/>
      <name val="Arial"/>
      <family val="0"/>
      <charset val="1"/>
    </font>
    <font>
      <b val="true"/>
      <sz val="8"/>
      <color rgb="FF185FA5"/>
      <name val="Arial"/>
      <family val="0"/>
      <charset val="1"/>
    </font>
    <font>
      <b val="true"/>
      <sz val="8"/>
      <color rgb="FF444441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444441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88780"/>
      <name val="Arial"/>
      <family val="0"/>
      <charset val="1"/>
    </font>
    <font>
      <sz val="8"/>
      <color rgb="FF88878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A32D2D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A2C82"/>
        <bgColor rgb="FF444441"/>
      </patternFill>
    </fill>
    <fill>
      <patternFill patternType="solid">
        <fgColor rgb="FFF1EFE8"/>
        <bgColor rgb="FFFCEBEB"/>
      </patternFill>
    </fill>
    <fill>
      <patternFill patternType="solid">
        <fgColor rgb="FFFFFEF0"/>
        <bgColor rgb="FFFFFFFF"/>
      </patternFill>
    </fill>
    <fill>
      <patternFill patternType="solid">
        <fgColor rgb="FF854F0B"/>
        <bgColor rgb="FFA32D2D"/>
      </patternFill>
    </fill>
    <fill>
      <patternFill patternType="solid">
        <fgColor rgb="FF0F6E56"/>
        <bgColor rgb="FF008080"/>
      </patternFill>
    </fill>
    <fill>
      <patternFill patternType="solid">
        <fgColor rgb="FF185FA5"/>
        <bgColor rgb="FF0F6E56"/>
      </patternFill>
    </fill>
    <fill>
      <patternFill patternType="solid">
        <fgColor rgb="FFEDE9F6"/>
        <bgColor rgb="FFF1EFE8"/>
      </patternFill>
    </fill>
    <fill>
      <patternFill patternType="solid">
        <fgColor rgb="FFE6F1FB"/>
        <bgColor rgb="FFEDE9F6"/>
      </patternFill>
    </fill>
    <fill>
      <patternFill patternType="solid">
        <fgColor rgb="FF444441"/>
        <bgColor rgb="FF333300"/>
      </patternFill>
    </fill>
    <fill>
      <patternFill patternType="solid">
        <fgColor rgb="FFA32D2D"/>
        <bgColor rgb="FF993366"/>
      </patternFill>
    </fill>
    <fill>
      <patternFill patternType="solid">
        <fgColor rgb="FFFCEBEB"/>
        <bgColor rgb="FFF1EFE8"/>
      </patternFill>
    </fill>
    <fill>
      <patternFill patternType="solid">
        <fgColor rgb="FF3B6D11"/>
        <bgColor rgb="FF0F6E5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88780"/>
      <rgbColor rgb="FF9999FF"/>
      <rgbColor rgb="FF993366"/>
      <rgbColor rgb="FFFFFEF0"/>
      <rgbColor rgb="FFE6F1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DE9F6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B6D11"/>
      <rgbColor rgb="FF003300"/>
      <rgbColor rgb="FF333300"/>
      <rgbColor rgb="FFA32D2D"/>
      <rgbColor rgb="FF993366"/>
      <rgbColor rgb="FF4A2C82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4"/>
    <col collapsed="false" customWidth="true" hidden="false" outlineLevel="0" max="4" min="4" style="0" width="36"/>
    <col collapsed="false" customWidth="true" hidden="false" outlineLevel="0" max="5" min="5" style="0" width="2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/>
      <c r="D4" s="5" t="s">
        <v>3</v>
      </c>
      <c r="E4" s="5" t="s">
        <v>4</v>
      </c>
    </row>
    <row r="5" customFormat="false" ht="15" hidden="false" customHeight="false" outlineLevel="0" collapsed="false">
      <c r="A5" s="3" t="s">
        <v>5</v>
      </c>
      <c r="B5" s="4"/>
      <c r="D5" s="3" t="s">
        <v>6</v>
      </c>
      <c r="E5" s="6" t="n">
        <v>0.4</v>
      </c>
    </row>
    <row r="6" customFormat="false" ht="15" hidden="false" customHeight="false" outlineLevel="0" collapsed="false">
      <c r="A6" s="3" t="s">
        <v>7</v>
      </c>
      <c r="B6" s="4"/>
      <c r="D6" s="3" t="s">
        <v>8</v>
      </c>
      <c r="E6" s="6" t="n">
        <v>0.46</v>
      </c>
    </row>
    <row r="7" customFormat="false" ht="15" hidden="false" customHeight="false" outlineLevel="0" collapsed="false">
      <c r="A7" s="3" t="s">
        <v>9</v>
      </c>
      <c r="B7" s="4"/>
      <c r="D7" s="3" t="s">
        <v>10</v>
      </c>
      <c r="E7" s="6" t="n">
        <v>0.43</v>
      </c>
    </row>
    <row r="8" customFormat="false" ht="15" hidden="false" customHeight="false" outlineLevel="0" collapsed="false">
      <c r="A8" s="3" t="s">
        <v>11</v>
      </c>
      <c r="B8" s="4"/>
      <c r="D8" s="3" t="s">
        <v>12</v>
      </c>
      <c r="E8" s="6" t="n">
        <v>0.011</v>
      </c>
    </row>
    <row r="9" customFormat="false" ht="15" hidden="false" customHeight="false" outlineLevel="0" collapsed="false">
      <c r="A9" s="3" t="s">
        <v>13</v>
      </c>
      <c r="B9" s="4"/>
      <c r="D9" s="3" t="s">
        <v>14</v>
      </c>
      <c r="E9" s="7" t="n">
        <v>11.88</v>
      </c>
    </row>
    <row r="10" customFormat="false" ht="15" hidden="false" customHeight="false" outlineLevel="0" collapsed="false">
      <c r="A10" s="3" t="s">
        <v>15</v>
      </c>
      <c r="B10" s="4"/>
    </row>
    <row r="11" customFormat="false" ht="15" hidden="false" customHeight="false" outlineLevel="0" collapsed="false">
      <c r="A11" s="3" t="s">
        <v>16</v>
      </c>
      <c r="B11" s="4"/>
    </row>
    <row r="13" customFormat="false" ht="21.75" hidden="false" customHeight="true" outlineLevel="0" collapsed="false">
      <c r="A13" s="8" t="s">
        <v>17</v>
      </c>
      <c r="B13" s="8"/>
      <c r="C13" s="8"/>
      <c r="D13" s="8"/>
      <c r="E13" s="8"/>
    </row>
    <row r="14" customFormat="false" ht="15" hidden="false" customHeight="false" outlineLevel="0" collapsed="false">
      <c r="A14" s="3" t="s">
        <v>18</v>
      </c>
      <c r="B14" s="4"/>
    </row>
    <row r="15" customFormat="false" ht="15" hidden="false" customHeight="false" outlineLevel="0" collapsed="false">
      <c r="A15" s="3" t="s">
        <v>19</v>
      </c>
      <c r="B15" s="4"/>
    </row>
    <row r="16" customFormat="false" ht="15" hidden="false" customHeight="false" outlineLevel="0" collapsed="false">
      <c r="A16" s="3" t="s">
        <v>20</v>
      </c>
      <c r="B16" s="4"/>
    </row>
    <row r="17" customFormat="false" ht="15" hidden="false" customHeight="false" outlineLevel="0" collapsed="false">
      <c r="A17" s="3" t="s">
        <v>21</v>
      </c>
      <c r="B17" s="4"/>
    </row>
    <row r="18" customFormat="false" ht="15" hidden="false" customHeight="false" outlineLevel="0" collapsed="false">
      <c r="A18" s="3" t="s">
        <v>22</v>
      </c>
      <c r="B18" s="4"/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9" t="s">
        <v>24</v>
      </c>
      <c r="B2" s="10" t="n">
        <f aca="false">PARAMETRES!B4</f>
        <v>0</v>
      </c>
      <c r="D2" s="9" t="s">
        <v>25</v>
      </c>
      <c r="E2" s="10" t="n">
        <f aca="false">PARAMETRES!B5</f>
        <v>0</v>
      </c>
    </row>
    <row r="4" customFormat="false" ht="21.75" hidden="false" customHeight="true" outlineLevel="0" collapsed="false">
      <c r="A4" s="11" t="s">
        <v>26</v>
      </c>
      <c r="B4" s="11"/>
      <c r="D4" s="12" t="s">
        <v>27</v>
      </c>
      <c r="E4" s="12"/>
    </row>
    <row r="5" customFormat="false" ht="12.75" hidden="false" customHeight="true" outlineLevel="0" collapsed="false">
      <c r="A5" s="13" t="s">
        <v>28</v>
      </c>
      <c r="B5" s="13"/>
      <c r="D5" s="14" t="s">
        <v>29</v>
      </c>
    </row>
    <row r="6" customFormat="false" ht="12.75" hidden="false" customHeight="true" outlineLevel="0" collapsed="false">
      <c r="A6" s="15" t="s">
        <v>30</v>
      </c>
      <c r="D6" s="16" t="s">
        <v>31</v>
      </c>
      <c r="E6" s="17"/>
    </row>
    <row r="7" customFormat="false" ht="12.75" hidden="false" customHeight="true" outlineLevel="0" collapsed="false">
      <c r="A7" s="16" t="s">
        <v>32</v>
      </c>
      <c r="B7" s="17"/>
      <c r="D7" s="16" t="s">
        <v>33</v>
      </c>
      <c r="E7" s="17"/>
    </row>
    <row r="8" customFormat="false" ht="12.75" hidden="false" customHeight="true" outlineLevel="0" collapsed="false">
      <c r="A8" s="16" t="s">
        <v>34</v>
      </c>
      <c r="B8" s="17"/>
      <c r="D8" s="16" t="s">
        <v>35</v>
      </c>
      <c r="E8" s="17"/>
    </row>
    <row r="9" customFormat="false" ht="12.75" hidden="false" customHeight="true" outlineLevel="0" collapsed="false">
      <c r="A9" s="16" t="s">
        <v>36</v>
      </c>
      <c r="B9" s="17"/>
      <c r="D9" s="16" t="s">
        <v>37</v>
      </c>
      <c r="E9" s="17"/>
    </row>
    <row r="10" customFormat="false" ht="13.5" hidden="false" customHeight="true" outlineLevel="0" collapsed="false">
      <c r="A10" s="18" t="s">
        <v>38</v>
      </c>
      <c r="B10" s="19" t="n">
        <f aca="false">SUM(B7:B9)</f>
        <v>0</v>
      </c>
      <c r="D10" s="20" t="s">
        <v>39</v>
      </c>
      <c r="E10" s="21" t="n">
        <f aca="false">SUM(E6:E9)</f>
        <v>0</v>
      </c>
    </row>
    <row r="11" customFormat="false" ht="12.75" hidden="false" customHeight="true" outlineLevel="0" collapsed="false">
      <c r="A11" s="15" t="s">
        <v>40</v>
      </c>
      <c r="D11" s="14" t="s">
        <v>41</v>
      </c>
    </row>
    <row r="12" customFormat="false" ht="12.75" hidden="false" customHeight="true" outlineLevel="0" collapsed="false">
      <c r="A12" s="16" t="s">
        <v>42</v>
      </c>
      <c r="B12" s="17"/>
      <c r="D12" s="16" t="s">
        <v>43</v>
      </c>
      <c r="E12" s="17"/>
    </row>
    <row r="13" customFormat="false" ht="12.75" hidden="false" customHeight="true" outlineLevel="0" collapsed="false">
      <c r="A13" s="16" t="s">
        <v>44</v>
      </c>
      <c r="B13" s="17"/>
      <c r="D13" s="16" t="s">
        <v>45</v>
      </c>
      <c r="E13" s="17"/>
    </row>
    <row r="14" customFormat="false" ht="12.75" hidden="false" customHeight="true" outlineLevel="0" collapsed="false">
      <c r="A14" s="16" t="s">
        <v>46</v>
      </c>
      <c r="B14" s="17"/>
      <c r="D14" s="16" t="s">
        <v>47</v>
      </c>
      <c r="E14" s="17"/>
    </row>
    <row r="15" customFormat="false" ht="12.75" hidden="false" customHeight="true" outlineLevel="0" collapsed="false">
      <c r="A15" s="16" t="s">
        <v>48</v>
      </c>
      <c r="B15" s="17"/>
      <c r="D15" s="16" t="s">
        <v>49</v>
      </c>
      <c r="E15" s="17"/>
    </row>
    <row r="16" customFormat="false" ht="12.75" hidden="false" customHeight="true" outlineLevel="0" collapsed="false">
      <c r="A16" s="16" t="s">
        <v>50</v>
      </c>
      <c r="B16" s="17"/>
      <c r="D16" s="16" t="s">
        <v>51</v>
      </c>
      <c r="E16" s="17"/>
    </row>
    <row r="17" customFormat="false" ht="12.75" hidden="false" customHeight="true" outlineLevel="0" collapsed="false">
      <c r="A17" s="18" t="s">
        <v>52</v>
      </c>
      <c r="B17" s="19" t="n">
        <f aca="false">SUM(B12:B16)</f>
        <v>0</v>
      </c>
      <c r="D17" s="16" t="s">
        <v>53</v>
      </c>
      <c r="E17" s="17"/>
    </row>
    <row r="18" customFormat="false" ht="12.75" hidden="false" customHeight="true" outlineLevel="0" collapsed="false">
      <c r="A18" s="15" t="s">
        <v>54</v>
      </c>
      <c r="D18" s="16" t="s">
        <v>55</v>
      </c>
      <c r="E18" s="17"/>
    </row>
    <row r="19" customFormat="false" ht="12.75" hidden="false" customHeight="true" outlineLevel="0" collapsed="false">
      <c r="A19" s="16" t="s">
        <v>56</v>
      </c>
      <c r="B19" s="17"/>
      <c r="D19" s="16" t="s">
        <v>57</v>
      </c>
      <c r="E19" s="17"/>
    </row>
    <row r="20" customFormat="false" ht="13.5" hidden="false" customHeight="true" outlineLevel="0" collapsed="false">
      <c r="A20" s="16" t="s">
        <v>58</v>
      </c>
      <c r="B20" s="17"/>
      <c r="D20" s="20" t="s">
        <v>59</v>
      </c>
      <c r="E20" s="21" t="n">
        <f aca="false">SUM(E12:E19)</f>
        <v>0</v>
      </c>
    </row>
    <row r="21" customFormat="false" ht="12.75" hidden="false" customHeight="true" outlineLevel="0" collapsed="false">
      <c r="A21" s="16" t="s">
        <v>60</v>
      </c>
      <c r="B21" s="17"/>
      <c r="D21" s="14" t="s">
        <v>61</v>
      </c>
    </row>
    <row r="22" customFormat="false" ht="12.75" hidden="false" customHeight="true" outlineLevel="0" collapsed="false">
      <c r="A22" s="18" t="s">
        <v>62</v>
      </c>
      <c r="B22" s="19" t="n">
        <f aca="false">SUM(B19:B21)</f>
        <v>0</v>
      </c>
      <c r="D22" s="16" t="s">
        <v>63</v>
      </c>
      <c r="E22" s="17"/>
    </row>
    <row r="23" customFormat="false" ht="12.75" hidden="false" customHeight="true" outlineLevel="0" collapsed="false">
      <c r="A23" s="15" t="s">
        <v>64</v>
      </c>
      <c r="D23" s="16" t="s">
        <v>65</v>
      </c>
      <c r="E23" s="17"/>
    </row>
    <row r="24" customFormat="false" ht="12.75" hidden="false" customHeight="true" outlineLevel="0" collapsed="false">
      <c r="A24" s="16" t="s">
        <v>66</v>
      </c>
      <c r="B24" s="17"/>
      <c r="D24" s="16" t="s">
        <v>67</v>
      </c>
      <c r="E24" s="17"/>
    </row>
    <row r="25" customFormat="false" ht="12.75" hidden="false" customHeight="true" outlineLevel="0" collapsed="false">
      <c r="A25" s="18" t="s">
        <v>68</v>
      </c>
      <c r="B25" s="19" t="n">
        <f aca="false">SUM(B24:B24)</f>
        <v>0</v>
      </c>
      <c r="D25" s="16" t="s">
        <v>60</v>
      </c>
      <c r="E25" s="17"/>
    </row>
    <row r="26" customFormat="false" ht="13.5" hidden="false" customHeight="true" outlineLevel="0" collapsed="false">
      <c r="A26" s="15" t="s">
        <v>69</v>
      </c>
      <c r="D26" s="20" t="s">
        <v>70</v>
      </c>
      <c r="E26" s="21" t="n">
        <f aca="false">SUM(E22:E25)</f>
        <v>0</v>
      </c>
    </row>
    <row r="27" customFormat="false" ht="12.75" hidden="false" customHeight="true" outlineLevel="0" collapsed="false">
      <c r="A27" s="16" t="s">
        <v>71</v>
      </c>
      <c r="B27" s="17"/>
      <c r="D27" s="14" t="s">
        <v>72</v>
      </c>
    </row>
    <row r="28" customFormat="false" ht="12.75" hidden="false" customHeight="true" outlineLevel="0" collapsed="false">
      <c r="A28" s="18" t="s">
        <v>73</v>
      </c>
      <c r="B28" s="19" t="n">
        <f aca="false">SUM(B27:B27)</f>
        <v>0</v>
      </c>
      <c r="D28" s="16" t="s">
        <v>74</v>
      </c>
      <c r="E28" s="17"/>
    </row>
    <row r="29" customFormat="false" ht="12.75" hidden="false" customHeight="true" outlineLevel="0" collapsed="false">
      <c r="A29" s="13" t="s">
        <v>75</v>
      </c>
      <c r="B29" s="13"/>
      <c r="D29" s="16" t="s">
        <v>76</v>
      </c>
      <c r="E29" s="17"/>
    </row>
    <row r="30" customFormat="false" ht="12.75" hidden="false" customHeight="true" outlineLevel="0" collapsed="false">
      <c r="A30" s="15" t="s">
        <v>77</v>
      </c>
      <c r="D30" s="16" t="s">
        <v>78</v>
      </c>
      <c r="E30" s="17"/>
    </row>
    <row r="31" customFormat="false" ht="13.5" hidden="false" customHeight="true" outlineLevel="0" collapsed="false">
      <c r="A31" s="16" t="s">
        <v>79</v>
      </c>
      <c r="B31" s="17"/>
      <c r="D31" s="20" t="s">
        <v>80</v>
      </c>
      <c r="E31" s="21" t="n">
        <f aca="false">SUM(E28:E30)</f>
        <v>0</v>
      </c>
    </row>
    <row r="32" customFormat="false" ht="12.75" hidden="false" customHeight="true" outlineLevel="0" collapsed="false">
      <c r="A32" s="16" t="s">
        <v>81</v>
      </c>
      <c r="B32" s="17"/>
      <c r="D32" s="14" t="s">
        <v>82</v>
      </c>
    </row>
    <row r="33" customFormat="false" ht="12.75" hidden="false" customHeight="true" outlineLevel="0" collapsed="false">
      <c r="A33" s="16" t="s">
        <v>83</v>
      </c>
      <c r="B33" s="17"/>
      <c r="D33" s="16" t="s">
        <v>84</v>
      </c>
      <c r="E33" s="17"/>
    </row>
    <row r="34" customFormat="false" ht="13.5" hidden="false" customHeight="true" outlineLevel="0" collapsed="false">
      <c r="A34" s="18" t="s">
        <v>85</v>
      </c>
      <c r="B34" s="19" t="n">
        <f aca="false">SUM(B31:B33)</f>
        <v>0</v>
      </c>
      <c r="D34" s="20" t="s">
        <v>86</v>
      </c>
      <c r="E34" s="21" t="n">
        <f aca="false">SUM(E33:E33)</f>
        <v>0</v>
      </c>
    </row>
    <row r="35" customFormat="false" ht="18" hidden="false" customHeight="true" outlineLevel="0" collapsed="false">
      <c r="A35" s="22" t="s">
        <v>87</v>
      </c>
      <c r="B35" s="23" t="n">
        <f aca="false">B10+B17+B22+B25+B28+B34</f>
        <v>0</v>
      </c>
      <c r="D35" s="24" t="s">
        <v>88</v>
      </c>
      <c r="E35" s="25" t="n">
        <f aca="false">E10+E20+E26+E31+E34</f>
        <v>0</v>
      </c>
    </row>
    <row r="37" customFormat="false" ht="19.5" hidden="false" customHeight="true" outlineLevel="0" collapsed="false">
      <c r="A37" s="26" t="str">
        <f aca="false">IF(ABS(B35-E35)&gt;1,"⚠️ ÉCART : "&amp;TEXT(ABS(B35-E35),"#,##0")&amp;" €","✅ Budget équilibré — "&amp;TEXT(B35,"#,##0")&amp;" €")</f>
        <v>✅ Budget équilibré — 0 €</v>
      </c>
      <c r="B37" s="26"/>
      <c r="C37" s="26"/>
      <c r="D37" s="26"/>
      <c r="E37" s="26"/>
    </row>
    <row r="38" customFormat="false" ht="12.75" hidden="false" customHeight="true" outlineLevel="0" collapsed="false">
      <c r="A38" s="27" t="s">
        <v>89</v>
      </c>
      <c r="B38" s="17"/>
    </row>
    <row r="39" customFormat="false" ht="12.75" hidden="false" customHeight="true" outlineLevel="0" collapsed="false">
      <c r="A39" s="27" t="s">
        <v>90</v>
      </c>
      <c r="B39" s="17"/>
    </row>
    <row r="40" customFormat="false" ht="13.5" hidden="false" customHeight="true" outlineLevel="0" collapsed="false">
      <c r="A40" s="18" t="s">
        <v>91</v>
      </c>
      <c r="B40" s="19" t="n">
        <f aca="false">SUM(B38:B39)</f>
        <v>0</v>
      </c>
    </row>
  </sheetData>
  <mergeCells count="6">
    <mergeCell ref="A1:E1"/>
    <mergeCell ref="A4:B4"/>
    <mergeCell ref="D4:E4"/>
    <mergeCell ref="A5:B5"/>
    <mergeCell ref="A29:B29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93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11" t="s">
        <v>94</v>
      </c>
      <c r="B4" s="11"/>
      <c r="C4" s="11"/>
      <c r="D4" s="11"/>
      <c r="E4" s="11"/>
      <c r="F4" s="11"/>
      <c r="G4" s="11"/>
      <c r="H4" s="11"/>
      <c r="I4" s="11"/>
    </row>
    <row r="5" customFormat="false" ht="25.5" hidden="false" customHeight="true" outlineLevel="0" collapsed="false">
      <c r="A5" s="28" t="s">
        <v>95</v>
      </c>
      <c r="B5" s="28" t="s">
        <v>96</v>
      </c>
      <c r="C5" s="28" t="s">
        <v>97</v>
      </c>
      <c r="D5" s="28" t="s">
        <v>98</v>
      </c>
      <c r="E5" s="28" t="s">
        <v>99</v>
      </c>
      <c r="F5" s="28" t="s">
        <v>100</v>
      </c>
      <c r="G5" s="28" t="s">
        <v>101</v>
      </c>
      <c r="H5" s="28" t="s">
        <v>102</v>
      </c>
      <c r="I5" s="28" t="s">
        <v>103</v>
      </c>
    </row>
    <row r="6" customFormat="false" ht="15" hidden="false" customHeight="false" outlineLevel="0" collapsed="false">
      <c r="A6" s="29"/>
      <c r="B6" s="29"/>
      <c r="C6" s="30"/>
      <c r="D6" s="31"/>
      <c r="E6" s="32" t="n">
        <f aca="false">C6*D6</f>
        <v>0</v>
      </c>
      <c r="F6" s="32" t="n">
        <f aca="false">E6*PARAMETRES!E5</f>
        <v>0</v>
      </c>
      <c r="G6" s="33" t="n">
        <f aca="false">E6+F6</f>
        <v>0</v>
      </c>
      <c r="H6" s="34" t="str">
        <f aca="false">IF(C6=0,"-",ROUND(C6/218,3))</f>
        <v>-</v>
      </c>
      <c r="I6" s="35" t="s">
        <v>104</v>
      </c>
    </row>
    <row r="7" customFormat="false" ht="15" hidden="false" customHeight="false" outlineLevel="0" collapsed="false">
      <c r="A7" s="29"/>
      <c r="B7" s="29"/>
      <c r="C7" s="30"/>
      <c r="D7" s="31"/>
      <c r="E7" s="32" t="n">
        <f aca="false">C7*D7</f>
        <v>0</v>
      </c>
      <c r="F7" s="32" t="n">
        <f aca="false">E7*PARAMETRES!E5</f>
        <v>0</v>
      </c>
      <c r="G7" s="33" t="n">
        <f aca="false">E7+F7</f>
        <v>0</v>
      </c>
      <c r="H7" s="34" t="str">
        <f aca="false">IF(C7=0,"-",ROUND(C7/218,3))</f>
        <v>-</v>
      </c>
      <c r="I7" s="35" t="s">
        <v>104</v>
      </c>
    </row>
    <row r="8" customFormat="false" ht="15" hidden="false" customHeight="false" outlineLevel="0" collapsed="false">
      <c r="A8" s="29"/>
      <c r="B8" s="29"/>
      <c r="C8" s="30"/>
      <c r="D8" s="31"/>
      <c r="E8" s="32" t="n">
        <f aca="false">C8*D8</f>
        <v>0</v>
      </c>
      <c r="F8" s="32" t="n">
        <f aca="false">E8*PARAMETRES!E5</f>
        <v>0</v>
      </c>
      <c r="G8" s="33" t="n">
        <f aca="false">E8+F8</f>
        <v>0</v>
      </c>
      <c r="H8" s="34" t="str">
        <f aca="false">IF(C8=0,"-",ROUND(C8/218,3))</f>
        <v>-</v>
      </c>
      <c r="I8" s="35" t="s">
        <v>104</v>
      </c>
    </row>
    <row r="9" customFormat="false" ht="15" hidden="false" customHeight="false" outlineLevel="0" collapsed="false">
      <c r="A9" s="29"/>
      <c r="B9" s="29"/>
      <c r="C9" s="30"/>
      <c r="D9" s="31"/>
      <c r="E9" s="32" t="n">
        <f aca="false">C9*D9</f>
        <v>0</v>
      </c>
      <c r="F9" s="32" t="n">
        <f aca="false">E9*PARAMETRES!E5</f>
        <v>0</v>
      </c>
      <c r="G9" s="33" t="n">
        <f aca="false">E9+F9</f>
        <v>0</v>
      </c>
      <c r="H9" s="34" t="str">
        <f aca="false">IF(C9=0,"-",ROUND(C9/218,3))</f>
        <v>-</v>
      </c>
      <c r="I9" s="35" t="s">
        <v>104</v>
      </c>
    </row>
    <row r="10" customFormat="false" ht="15" hidden="false" customHeight="false" outlineLevel="0" collapsed="false">
      <c r="A10" s="29"/>
      <c r="B10" s="29"/>
      <c r="C10" s="30"/>
      <c r="D10" s="31"/>
      <c r="E10" s="32" t="n">
        <f aca="false">C10*D10</f>
        <v>0</v>
      </c>
      <c r="F10" s="32" t="n">
        <f aca="false">E10*PARAMETRES!E5</f>
        <v>0</v>
      </c>
      <c r="G10" s="33" t="n">
        <f aca="false">E10+F10</f>
        <v>0</v>
      </c>
      <c r="H10" s="34" t="str">
        <f aca="false">IF(C10=0,"-",ROUND(C10/218,3))</f>
        <v>-</v>
      </c>
      <c r="I10" s="35" t="s">
        <v>104</v>
      </c>
    </row>
    <row r="11" customFormat="false" ht="15" hidden="false" customHeight="false" outlineLevel="0" collapsed="false">
      <c r="A11" s="29"/>
      <c r="B11" s="29"/>
      <c r="C11" s="30"/>
      <c r="D11" s="31"/>
      <c r="E11" s="32" t="n">
        <f aca="false">C11*D11</f>
        <v>0</v>
      </c>
      <c r="F11" s="32" t="n">
        <f aca="false">E11*PARAMETRES!E5</f>
        <v>0</v>
      </c>
      <c r="G11" s="33" t="n">
        <f aca="false">E11+F11</f>
        <v>0</v>
      </c>
      <c r="H11" s="34" t="str">
        <f aca="false">IF(C11=0,"-",ROUND(C11/218,3))</f>
        <v>-</v>
      </c>
      <c r="I11" s="35" t="s">
        <v>104</v>
      </c>
    </row>
    <row r="12" customFormat="false" ht="15" hidden="false" customHeight="false" outlineLevel="0" collapsed="false">
      <c r="A12" s="29"/>
      <c r="B12" s="29"/>
      <c r="C12" s="30"/>
      <c r="D12" s="31"/>
      <c r="E12" s="32" t="n">
        <f aca="false">C12*D12</f>
        <v>0</v>
      </c>
      <c r="F12" s="32" t="n">
        <f aca="false">E12*PARAMETRES!E5</f>
        <v>0</v>
      </c>
      <c r="G12" s="33" t="n">
        <f aca="false">E12+F12</f>
        <v>0</v>
      </c>
      <c r="H12" s="34" t="str">
        <f aca="false">IF(C12=0,"-",ROUND(C12/218,3))</f>
        <v>-</v>
      </c>
      <c r="I12" s="35" t="s">
        <v>104</v>
      </c>
    </row>
    <row r="13" customFormat="false" ht="15" hidden="false" customHeight="false" outlineLevel="0" collapsed="false">
      <c r="A13" s="29"/>
      <c r="B13" s="29"/>
      <c r="C13" s="30"/>
      <c r="D13" s="31"/>
      <c r="E13" s="32" t="n">
        <f aca="false">C13*D13</f>
        <v>0</v>
      </c>
      <c r="F13" s="32" t="n">
        <f aca="false">E13*PARAMETRES!E5</f>
        <v>0</v>
      </c>
      <c r="G13" s="33" t="n">
        <f aca="false">E13+F13</f>
        <v>0</v>
      </c>
      <c r="H13" s="34" t="str">
        <f aca="false">IF(C13=0,"-",ROUND(C13/218,3))</f>
        <v>-</v>
      </c>
      <c r="I13" s="35" t="s">
        <v>104</v>
      </c>
    </row>
    <row r="14" customFormat="false" ht="18" hidden="false" customHeight="true" outlineLevel="0" collapsed="false">
      <c r="A14" s="36" t="s">
        <v>105</v>
      </c>
      <c r="E14" s="37" t="n">
        <f aca="false">SUM(E6:E13)</f>
        <v>0</v>
      </c>
      <c r="F14" s="38" t="n">
        <f aca="false">SUM(F6:F13)</f>
        <v>0</v>
      </c>
      <c r="G14" s="38" t="n">
        <f aca="false">SUM(G6:G13)</f>
        <v>0</v>
      </c>
    </row>
    <row r="16" customFormat="false" ht="21.75" hidden="false" customHeight="true" outlineLevel="0" collapsed="false">
      <c r="A16" s="39" t="s">
        <v>106</v>
      </c>
      <c r="B16" s="39"/>
      <c r="C16" s="39"/>
      <c r="D16" s="39"/>
      <c r="E16" s="39"/>
      <c r="F16" s="39"/>
      <c r="G16" s="39"/>
      <c r="H16" s="39"/>
      <c r="I16" s="39"/>
    </row>
    <row r="17" customFormat="false" ht="25.5" hidden="false" customHeight="true" outlineLevel="0" collapsed="false">
      <c r="A17" s="40" t="s">
        <v>107</v>
      </c>
      <c r="B17" s="40" t="s">
        <v>108</v>
      </c>
      <c r="C17" s="40" t="s">
        <v>109</v>
      </c>
      <c r="D17" s="40" t="s">
        <v>110</v>
      </c>
      <c r="E17" s="40" t="s">
        <v>111</v>
      </c>
      <c r="F17" s="40" t="s">
        <v>112</v>
      </c>
      <c r="G17" s="40" t="s">
        <v>113</v>
      </c>
      <c r="H17" s="40" t="s">
        <v>114</v>
      </c>
      <c r="I17" s="40" t="s">
        <v>103</v>
      </c>
    </row>
    <row r="18" customFormat="false" ht="15" hidden="false" customHeight="false" outlineLevel="0" collapsed="false">
      <c r="A18" s="29"/>
      <c r="B18" s="29"/>
      <c r="C18" s="30"/>
      <c r="D18" s="31"/>
      <c r="E18" s="32" t="n">
        <f aca="false">C18*D18</f>
        <v>0</v>
      </c>
      <c r="F18" s="41" t="n">
        <f aca="false">E18*PARAMETRES!E8</f>
        <v>0</v>
      </c>
      <c r="G18" s="33" t="n">
        <f aca="false">E18+F18</f>
        <v>0</v>
      </c>
      <c r="H18" s="35" t="s">
        <v>115</v>
      </c>
      <c r="I18" s="35" t="s">
        <v>116</v>
      </c>
    </row>
    <row r="19" customFormat="false" ht="15" hidden="false" customHeight="false" outlineLevel="0" collapsed="false">
      <c r="A19" s="29"/>
      <c r="B19" s="29"/>
      <c r="C19" s="30"/>
      <c r="D19" s="31"/>
      <c r="E19" s="32" t="n">
        <f aca="false">C19*D19</f>
        <v>0</v>
      </c>
      <c r="F19" s="41" t="n">
        <f aca="false">E19*PARAMETRES!E8</f>
        <v>0</v>
      </c>
      <c r="G19" s="33" t="n">
        <f aca="false">E19+F19</f>
        <v>0</v>
      </c>
      <c r="H19" s="35" t="s">
        <v>115</v>
      </c>
      <c r="I19" s="35" t="s">
        <v>116</v>
      </c>
    </row>
    <row r="20" customFormat="false" ht="15" hidden="false" customHeight="false" outlineLevel="0" collapsed="false">
      <c r="A20" s="29"/>
      <c r="B20" s="29"/>
      <c r="C20" s="30"/>
      <c r="D20" s="31"/>
      <c r="E20" s="32" t="n">
        <f aca="false">C20*D20</f>
        <v>0</v>
      </c>
      <c r="F20" s="41" t="n">
        <f aca="false">E20*PARAMETRES!E8</f>
        <v>0</v>
      </c>
      <c r="G20" s="33" t="n">
        <f aca="false">E20+F20</f>
        <v>0</v>
      </c>
      <c r="H20" s="35" t="s">
        <v>115</v>
      </c>
      <c r="I20" s="35" t="s">
        <v>116</v>
      </c>
    </row>
    <row r="21" customFormat="false" ht="15" hidden="false" customHeight="false" outlineLevel="0" collapsed="false">
      <c r="A21" s="29"/>
      <c r="B21" s="29"/>
      <c r="C21" s="30"/>
      <c r="D21" s="31"/>
      <c r="E21" s="32" t="n">
        <f aca="false">C21*D21</f>
        <v>0</v>
      </c>
      <c r="F21" s="41" t="n">
        <f aca="false">E21*PARAMETRES!E8</f>
        <v>0</v>
      </c>
      <c r="G21" s="33" t="n">
        <f aca="false">E21+F21</f>
        <v>0</v>
      </c>
      <c r="H21" s="35" t="s">
        <v>115</v>
      </c>
      <c r="I21" s="35" t="s">
        <v>116</v>
      </c>
    </row>
    <row r="22" customFormat="false" ht="15" hidden="false" customHeight="false" outlineLevel="0" collapsed="false">
      <c r="A22" s="29"/>
      <c r="B22" s="29"/>
      <c r="C22" s="30"/>
      <c r="D22" s="31"/>
      <c r="E22" s="32" t="n">
        <f aca="false">C22*D22</f>
        <v>0</v>
      </c>
      <c r="F22" s="41" t="n">
        <f aca="false">E22*PARAMETRES!E8</f>
        <v>0</v>
      </c>
      <c r="G22" s="33" t="n">
        <f aca="false">E22+F22</f>
        <v>0</v>
      </c>
      <c r="H22" s="35" t="s">
        <v>115</v>
      </c>
      <c r="I22" s="35" t="s">
        <v>116</v>
      </c>
    </row>
    <row r="23" customFormat="false" ht="18" hidden="false" customHeight="true" outlineLevel="0" collapsed="false">
      <c r="A23" s="42" t="s">
        <v>117</v>
      </c>
      <c r="E23" s="43" t="n">
        <f aca="false">SUM(E18:E22)</f>
        <v>0</v>
      </c>
      <c r="F23" s="44" t="n">
        <f aca="false">SUM(F18:F22)</f>
        <v>0</v>
      </c>
      <c r="G23" s="45" t="n">
        <f aca="false">SUM(G18:G22)</f>
        <v>0</v>
      </c>
    </row>
    <row r="25" customFormat="false" ht="21.75" hidden="false" customHeight="true" outlineLevel="0" collapsed="false">
      <c r="A25" s="46" t="s">
        <v>118</v>
      </c>
      <c r="B25" s="46"/>
      <c r="C25" s="46"/>
      <c r="D25" s="46"/>
      <c r="E25" s="46"/>
      <c r="F25" s="46"/>
      <c r="G25" s="46"/>
      <c r="H25" s="46"/>
      <c r="I25" s="46"/>
    </row>
    <row r="26" customFormat="false" ht="15" hidden="false" customHeight="false" outlineLevel="0" collapsed="false">
      <c r="A26" s="47" t="s">
        <v>119</v>
      </c>
      <c r="C26" s="48" t="n">
        <f aca="false">E14</f>
        <v>0</v>
      </c>
    </row>
    <row r="27" customFormat="false" ht="15" hidden="false" customHeight="false" outlineLevel="0" collapsed="false">
      <c r="A27" s="47" t="s">
        <v>120</v>
      </c>
      <c r="C27" s="48" t="n">
        <f aca="false">F14</f>
        <v>0</v>
      </c>
    </row>
    <row r="28" customFormat="false" ht="15" hidden="false" customHeight="false" outlineLevel="0" collapsed="false">
      <c r="A28" s="47" t="s">
        <v>121</v>
      </c>
      <c r="C28" s="48" t="n">
        <f aca="false">G14</f>
        <v>0</v>
      </c>
    </row>
    <row r="29" customFormat="false" ht="15" hidden="false" customHeight="false" outlineLevel="0" collapsed="false">
      <c r="A29" s="47" t="s">
        <v>122</v>
      </c>
      <c r="C29" s="48" t="n">
        <f aca="false">E23</f>
        <v>0</v>
      </c>
    </row>
    <row r="30" customFormat="false" ht="15" hidden="false" customHeight="false" outlineLevel="0" collapsed="false">
      <c r="A30" s="47" t="s">
        <v>123</v>
      </c>
      <c r="C30" s="48" t="n">
        <f aca="false">F23</f>
        <v>0</v>
      </c>
    </row>
    <row r="31" customFormat="false" ht="15" hidden="false" customHeight="false" outlineLevel="0" collapsed="false">
      <c r="A31" s="47" t="s">
        <v>124</v>
      </c>
      <c r="C31" s="48" t="n">
        <f aca="false">G23</f>
        <v>0</v>
      </c>
    </row>
    <row r="32" customFormat="false" ht="18" hidden="false" customHeight="true" outlineLevel="0" collapsed="false">
      <c r="A32" s="22" t="s">
        <v>125</v>
      </c>
      <c r="C32" s="23" t="n">
        <f aca="false">G14+G23</f>
        <v>0</v>
      </c>
    </row>
  </sheetData>
  <mergeCells count="5">
    <mergeCell ref="A1:I1"/>
    <mergeCell ref="A2:I2"/>
    <mergeCell ref="A4:I4"/>
    <mergeCell ref="A16:I16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127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11" t="s">
        <v>128</v>
      </c>
      <c r="B4" s="11"/>
      <c r="C4" s="11"/>
      <c r="D4" s="11"/>
      <c r="E4" s="11"/>
      <c r="F4" s="11"/>
      <c r="G4" s="11"/>
    </row>
    <row r="5" customFormat="false" ht="25.5" hidden="false" customHeight="true" outlineLevel="0" collapsed="false">
      <c r="A5" s="28" t="s">
        <v>129</v>
      </c>
      <c r="B5" s="28" t="s">
        <v>103</v>
      </c>
      <c r="C5" s="28" t="s">
        <v>130</v>
      </c>
      <c r="D5" s="28" t="s">
        <v>131</v>
      </c>
      <c r="E5" s="28" t="s">
        <v>132</v>
      </c>
      <c r="F5" s="28" t="s">
        <v>133</v>
      </c>
      <c r="G5" s="28" t="s">
        <v>134</v>
      </c>
    </row>
    <row r="6" customFormat="false" ht="15" hidden="false" customHeight="false" outlineLevel="0" collapsed="false">
      <c r="A6" s="29"/>
      <c r="B6" s="29"/>
      <c r="C6" s="49"/>
      <c r="D6" s="30"/>
      <c r="E6" s="50" t="n">
        <f aca="false">IF(D6=0,0,D6*7)</f>
        <v>0</v>
      </c>
      <c r="F6" s="51" t="str">
        <f aca="false">IF(D6=0,"-",ROUND(D6/218,3))</f>
        <v>-</v>
      </c>
      <c r="G6" s="35"/>
    </row>
    <row r="7" customFormat="false" ht="15" hidden="false" customHeight="false" outlineLevel="0" collapsed="false">
      <c r="A7" s="29"/>
      <c r="B7" s="29"/>
      <c r="C7" s="49"/>
      <c r="D7" s="30"/>
      <c r="E7" s="50" t="n">
        <f aca="false">IF(D7=0,0,D7*7)</f>
        <v>0</v>
      </c>
      <c r="F7" s="51" t="str">
        <f aca="false">IF(D7=0,"-",ROUND(D7/218,3))</f>
        <v>-</v>
      </c>
      <c r="G7" s="35"/>
    </row>
    <row r="8" customFormat="false" ht="15" hidden="false" customHeight="false" outlineLevel="0" collapsed="false">
      <c r="A8" s="29"/>
      <c r="B8" s="29"/>
      <c r="C8" s="49"/>
      <c r="D8" s="30"/>
      <c r="E8" s="50" t="n">
        <f aca="false">IF(D8=0,0,D8*7)</f>
        <v>0</v>
      </c>
      <c r="F8" s="51" t="str">
        <f aca="false">IF(D8=0,"-",ROUND(D8/218,3))</f>
        <v>-</v>
      </c>
      <c r="G8" s="35"/>
    </row>
    <row r="9" customFormat="false" ht="15" hidden="false" customHeight="false" outlineLevel="0" collapsed="false">
      <c r="A9" s="29"/>
      <c r="B9" s="29"/>
      <c r="C9" s="49"/>
      <c r="D9" s="30"/>
      <c r="E9" s="50" t="n">
        <f aca="false">IF(D9=0,0,D9*7)</f>
        <v>0</v>
      </c>
      <c r="F9" s="51" t="str">
        <f aca="false">IF(D9=0,"-",ROUND(D9/218,3))</f>
        <v>-</v>
      </c>
      <c r="G9" s="35"/>
    </row>
    <row r="10" customFormat="false" ht="15" hidden="false" customHeight="false" outlineLevel="0" collapsed="false">
      <c r="A10" s="29"/>
      <c r="B10" s="29"/>
      <c r="C10" s="49"/>
      <c r="D10" s="30"/>
      <c r="E10" s="50" t="n">
        <f aca="false">IF(D10=0,0,D10*7)</f>
        <v>0</v>
      </c>
      <c r="F10" s="51" t="str">
        <f aca="false">IF(D10=0,"-",ROUND(D10/218,3))</f>
        <v>-</v>
      </c>
      <c r="G10" s="35"/>
    </row>
    <row r="11" customFormat="false" ht="15" hidden="false" customHeight="false" outlineLevel="0" collapsed="false">
      <c r="A11" s="29"/>
      <c r="B11" s="29"/>
      <c r="C11" s="49"/>
      <c r="D11" s="30"/>
      <c r="E11" s="50" t="n">
        <f aca="false">IF(D11=0,0,D11*7)</f>
        <v>0</v>
      </c>
      <c r="F11" s="51" t="str">
        <f aca="false">IF(D11=0,"-",ROUND(D11/218,3))</f>
        <v>-</v>
      </c>
      <c r="G11" s="35"/>
    </row>
    <row r="12" customFormat="false" ht="15" hidden="false" customHeight="false" outlineLevel="0" collapsed="false">
      <c r="A12" s="29"/>
      <c r="B12" s="29"/>
      <c r="C12" s="49"/>
      <c r="D12" s="30"/>
      <c r="E12" s="50" t="n">
        <f aca="false">IF(D12=0,0,D12*7)</f>
        <v>0</v>
      </c>
      <c r="F12" s="51" t="str">
        <f aca="false">IF(D12=0,"-",ROUND(D12/218,3))</f>
        <v>-</v>
      </c>
      <c r="G12" s="35"/>
    </row>
    <row r="13" customFormat="false" ht="15" hidden="false" customHeight="false" outlineLevel="0" collapsed="false">
      <c r="A13" s="29"/>
      <c r="B13" s="29"/>
      <c r="C13" s="49"/>
      <c r="D13" s="30"/>
      <c r="E13" s="50" t="n">
        <f aca="false">IF(D13=0,0,D13*7)</f>
        <v>0</v>
      </c>
      <c r="F13" s="51" t="str">
        <f aca="false">IF(D13=0,"-",ROUND(D13/218,3))</f>
        <v>-</v>
      </c>
      <c r="G13" s="35"/>
    </row>
    <row r="14" customFormat="false" ht="15" hidden="false" customHeight="false" outlineLevel="0" collapsed="false">
      <c r="A14" s="29"/>
      <c r="B14" s="29"/>
      <c r="C14" s="49"/>
      <c r="D14" s="30"/>
      <c r="E14" s="50" t="n">
        <f aca="false">IF(D14=0,0,D14*7)</f>
        <v>0</v>
      </c>
      <c r="F14" s="51" t="str">
        <f aca="false">IF(D14=0,"-",ROUND(D14/218,3))</f>
        <v>-</v>
      </c>
      <c r="G14" s="35"/>
    </row>
    <row r="15" customFormat="false" ht="15" hidden="false" customHeight="false" outlineLevel="0" collapsed="false">
      <c r="A15" s="29"/>
      <c r="B15" s="29"/>
      <c r="C15" s="49"/>
      <c r="D15" s="30"/>
      <c r="E15" s="50" t="n">
        <f aca="false">IF(D15=0,0,D15*7)</f>
        <v>0</v>
      </c>
      <c r="F15" s="51" t="str">
        <f aca="false">IF(D15=0,"-",ROUND(D15/218,3))</f>
        <v>-</v>
      </c>
      <c r="G15" s="35"/>
    </row>
    <row r="16" customFormat="false" ht="18" hidden="false" customHeight="true" outlineLevel="0" collapsed="false">
      <c r="A16" s="36" t="s">
        <v>135</v>
      </c>
      <c r="D16" s="37" t="n">
        <f aca="false">SUM(D6:D15)</f>
        <v>0</v>
      </c>
      <c r="F16" s="52" t="n">
        <f aca="false">ROUND(D16/218,3)</f>
        <v>0</v>
      </c>
    </row>
    <row r="18" customFormat="false" ht="21.75" hidden="false" customHeight="true" outlineLevel="0" collapsed="false">
      <c r="A18" s="12" t="s">
        <v>136</v>
      </c>
      <c r="B18" s="12"/>
      <c r="C18" s="12"/>
      <c r="D18" s="12"/>
      <c r="E18" s="12"/>
      <c r="F18" s="12"/>
      <c r="G18" s="12"/>
    </row>
    <row r="19" customFormat="false" ht="25.5" hidden="false" customHeight="true" outlineLevel="0" collapsed="false">
      <c r="A19" s="53" t="s">
        <v>137</v>
      </c>
      <c r="B19" s="53" t="s">
        <v>103</v>
      </c>
      <c r="C19" s="53" t="s">
        <v>130</v>
      </c>
      <c r="D19" s="53" t="s">
        <v>138</v>
      </c>
      <c r="E19" s="53" t="s">
        <v>139</v>
      </c>
      <c r="F19" s="53" t="s">
        <v>140</v>
      </c>
      <c r="G19" s="53" t="s">
        <v>141</v>
      </c>
    </row>
    <row r="20" customFormat="false" ht="15" hidden="false" customHeight="false" outlineLevel="0" collapsed="false">
      <c r="A20" s="29"/>
      <c r="B20" s="29"/>
      <c r="C20" s="49"/>
      <c r="D20" s="30"/>
      <c r="E20" s="50" t="n">
        <f aca="false">IF(D20=0,0,D20*7)</f>
        <v>0</v>
      </c>
      <c r="F20" s="51" t="str">
        <f aca="false">IF(D20=0,"-",ROUND(D20/218,3))</f>
        <v>-</v>
      </c>
      <c r="G20" s="29"/>
    </row>
    <row r="21" customFormat="false" ht="15" hidden="false" customHeight="false" outlineLevel="0" collapsed="false">
      <c r="A21" s="29"/>
      <c r="B21" s="29"/>
      <c r="C21" s="49"/>
      <c r="D21" s="30"/>
      <c r="E21" s="50" t="n">
        <f aca="false">IF(D21=0,0,D21*7)</f>
        <v>0</v>
      </c>
      <c r="F21" s="51" t="str">
        <f aca="false">IF(D21=0,"-",ROUND(D21/218,3))</f>
        <v>-</v>
      </c>
      <c r="G21" s="29"/>
    </row>
    <row r="22" customFormat="false" ht="15" hidden="false" customHeight="false" outlineLevel="0" collapsed="false">
      <c r="A22" s="29"/>
      <c r="B22" s="29"/>
      <c r="C22" s="49"/>
      <c r="D22" s="30"/>
      <c r="E22" s="50" t="n">
        <f aca="false">IF(D22=0,0,D22*7)</f>
        <v>0</v>
      </c>
      <c r="F22" s="51" t="str">
        <f aca="false">IF(D22=0,"-",ROUND(D22/218,3))</f>
        <v>-</v>
      </c>
      <c r="G22" s="29"/>
    </row>
    <row r="23" customFormat="false" ht="15" hidden="false" customHeight="false" outlineLevel="0" collapsed="false">
      <c r="A23" s="29"/>
      <c r="B23" s="29"/>
      <c r="C23" s="49"/>
      <c r="D23" s="30"/>
      <c r="E23" s="50" t="n">
        <f aca="false">IF(D23=0,0,D23*7)</f>
        <v>0</v>
      </c>
      <c r="F23" s="51" t="str">
        <f aca="false">IF(D23=0,"-",ROUND(D23/218,3))</f>
        <v>-</v>
      </c>
      <c r="G23" s="29"/>
    </row>
    <row r="24" customFormat="false" ht="15" hidden="false" customHeight="false" outlineLevel="0" collapsed="false">
      <c r="A24" s="29"/>
      <c r="B24" s="29"/>
      <c r="C24" s="49"/>
      <c r="D24" s="30"/>
      <c r="E24" s="50" t="n">
        <f aca="false">IF(D24=0,0,D24*7)</f>
        <v>0</v>
      </c>
      <c r="F24" s="51" t="str">
        <f aca="false">IF(D24=0,"-",ROUND(D24/218,3))</f>
        <v>-</v>
      </c>
      <c r="G24" s="29"/>
    </row>
    <row r="25" customFormat="false" ht="15" hidden="false" customHeight="false" outlineLevel="0" collapsed="false">
      <c r="A25" s="29"/>
      <c r="B25" s="29"/>
      <c r="C25" s="49"/>
      <c r="D25" s="30"/>
      <c r="E25" s="50" t="n">
        <f aca="false">IF(D25=0,0,D25*7)</f>
        <v>0</v>
      </c>
      <c r="F25" s="51" t="str">
        <f aca="false">IF(D25=0,"-",ROUND(D25/218,3))</f>
        <v>-</v>
      </c>
      <c r="G25" s="29"/>
    </row>
    <row r="26" customFormat="false" ht="15" hidden="false" customHeight="false" outlineLevel="0" collapsed="false">
      <c r="A26" s="29"/>
      <c r="B26" s="29"/>
      <c r="C26" s="49"/>
      <c r="D26" s="30"/>
      <c r="E26" s="50" t="n">
        <f aca="false">IF(D26=0,0,D26*7)</f>
        <v>0</v>
      </c>
      <c r="F26" s="51" t="str">
        <f aca="false">IF(D26=0,"-",ROUND(D26/218,3))</f>
        <v>-</v>
      </c>
      <c r="G26" s="29"/>
    </row>
    <row r="27" customFormat="false" ht="15" hidden="false" customHeight="false" outlineLevel="0" collapsed="false">
      <c r="A27" s="29"/>
      <c r="B27" s="29"/>
      <c r="C27" s="49"/>
      <c r="D27" s="30"/>
      <c r="E27" s="50" t="n">
        <f aca="false">IF(D27=0,0,D27*7)</f>
        <v>0</v>
      </c>
      <c r="F27" s="51" t="str">
        <f aca="false">IF(D27=0,"-",ROUND(D27/218,3))</f>
        <v>-</v>
      </c>
      <c r="G27" s="29"/>
    </row>
    <row r="28" customFormat="false" ht="18" hidden="false" customHeight="true" outlineLevel="0" collapsed="false">
      <c r="A28" s="24" t="s">
        <v>142</v>
      </c>
      <c r="D28" s="25" t="n">
        <f aca="false">SUM(D20:D27)</f>
        <v>0</v>
      </c>
      <c r="F28" s="54" t="n">
        <f aca="false">SUMIF(F20:F27,"&lt;&gt;-",F20:F27)</f>
        <v>0</v>
      </c>
    </row>
    <row r="30" customFormat="false" ht="21.75" hidden="false" customHeight="true" outlineLevel="0" collapsed="false">
      <c r="A30" s="55" t="s">
        <v>143</v>
      </c>
      <c r="B30" s="55"/>
      <c r="C30" s="55"/>
      <c r="D30" s="55"/>
      <c r="E30" s="55"/>
      <c r="F30" s="55"/>
      <c r="G30" s="55"/>
    </row>
    <row r="31" customFormat="false" ht="25.5" hidden="false" customHeight="true" outlineLevel="0" collapsed="false">
      <c r="A31" s="56" t="s">
        <v>144</v>
      </c>
      <c r="B31" s="56" t="s">
        <v>145</v>
      </c>
      <c r="C31" s="56" t="s">
        <v>146</v>
      </c>
      <c r="D31" s="56" t="s">
        <v>147</v>
      </c>
      <c r="E31" s="56" t="s">
        <v>148</v>
      </c>
      <c r="F31" s="56" t="s">
        <v>149</v>
      </c>
      <c r="G31" s="56" t="s">
        <v>114</v>
      </c>
    </row>
    <row r="32" customFormat="false" ht="15" hidden="false" customHeight="false" outlineLevel="0" collapsed="false">
      <c r="A32" s="29"/>
      <c r="B32" s="29"/>
      <c r="C32" s="30"/>
      <c r="D32" s="57" t="n">
        <f aca="false">PARAMETRES!E9</f>
        <v>11.88</v>
      </c>
      <c r="E32" s="33" t="n">
        <f aca="false">IF(C32=0,0,C32*D32)</f>
        <v>0</v>
      </c>
      <c r="F32" s="58" t="str">
        <f aca="false">IF(C32=0,"-",ROUND(C32/1526,3))</f>
        <v>-</v>
      </c>
      <c r="G32" s="35"/>
    </row>
    <row r="33" customFormat="false" ht="15" hidden="false" customHeight="false" outlineLevel="0" collapsed="false">
      <c r="A33" s="29"/>
      <c r="B33" s="29"/>
      <c r="C33" s="30"/>
      <c r="D33" s="57" t="n">
        <f aca="false">PARAMETRES!E9</f>
        <v>11.88</v>
      </c>
      <c r="E33" s="33" t="n">
        <f aca="false">IF(C33=0,0,C33*D33)</f>
        <v>0</v>
      </c>
      <c r="F33" s="58" t="str">
        <f aca="false">IF(C33=0,"-",ROUND(C33/1526,3))</f>
        <v>-</v>
      </c>
      <c r="G33" s="35"/>
    </row>
    <row r="34" customFormat="false" ht="15" hidden="false" customHeight="false" outlineLevel="0" collapsed="false">
      <c r="A34" s="29"/>
      <c r="B34" s="29"/>
      <c r="C34" s="30"/>
      <c r="D34" s="57" t="n">
        <f aca="false">PARAMETRES!E9</f>
        <v>11.88</v>
      </c>
      <c r="E34" s="33" t="n">
        <f aca="false">IF(C34=0,0,C34*D34)</f>
        <v>0</v>
      </c>
      <c r="F34" s="58" t="str">
        <f aca="false">IF(C34=0,"-",ROUND(C34/1526,3))</f>
        <v>-</v>
      </c>
      <c r="G34" s="35"/>
    </row>
    <row r="35" customFormat="false" ht="15" hidden="false" customHeight="false" outlineLevel="0" collapsed="false">
      <c r="A35" s="29"/>
      <c r="B35" s="29"/>
      <c r="C35" s="30"/>
      <c r="D35" s="57" t="n">
        <f aca="false">PARAMETRES!E9</f>
        <v>11.88</v>
      </c>
      <c r="E35" s="33" t="n">
        <f aca="false">IF(C35=0,0,C35*D35)</f>
        <v>0</v>
      </c>
      <c r="F35" s="58" t="str">
        <f aca="false">IF(C35=0,"-",ROUND(C35/1526,3))</f>
        <v>-</v>
      </c>
      <c r="G35" s="35"/>
    </row>
    <row r="36" customFormat="false" ht="15" hidden="false" customHeight="false" outlineLevel="0" collapsed="false">
      <c r="A36" s="29"/>
      <c r="B36" s="29"/>
      <c r="C36" s="30"/>
      <c r="D36" s="57" t="n">
        <f aca="false">PARAMETRES!E9</f>
        <v>11.88</v>
      </c>
      <c r="E36" s="33" t="n">
        <f aca="false">IF(C36=0,0,C36*D36)</f>
        <v>0</v>
      </c>
      <c r="F36" s="58" t="str">
        <f aca="false">IF(C36=0,"-",ROUND(C36/1526,3))</f>
        <v>-</v>
      </c>
      <c r="G36" s="35"/>
    </row>
    <row r="37" customFormat="false" ht="15" hidden="false" customHeight="false" outlineLevel="0" collapsed="false">
      <c r="A37" s="29"/>
      <c r="B37" s="29"/>
      <c r="C37" s="30"/>
      <c r="D37" s="57" t="n">
        <f aca="false">PARAMETRES!E9</f>
        <v>11.88</v>
      </c>
      <c r="E37" s="33" t="n">
        <f aca="false">IF(C37=0,0,C37*D37)</f>
        <v>0</v>
      </c>
      <c r="F37" s="58" t="str">
        <f aca="false">IF(C37=0,"-",ROUND(C37/1526,3))</f>
        <v>-</v>
      </c>
      <c r="G37" s="35"/>
    </row>
    <row r="38" customFormat="false" ht="18" hidden="false" customHeight="true" outlineLevel="0" collapsed="false">
      <c r="A38" s="59" t="s">
        <v>150</v>
      </c>
      <c r="E38" s="60" t="n">
        <f aca="false">SUM(E32:E37)</f>
        <v>0</v>
      </c>
    </row>
  </sheetData>
  <mergeCells count="5">
    <mergeCell ref="A1:G1"/>
    <mergeCell ref="A2:G2"/>
    <mergeCell ref="A4:G4"/>
    <mergeCell ref="A18:G18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61" t="s">
        <v>151</v>
      </c>
      <c r="B1" s="61"/>
      <c r="C1" s="61"/>
      <c r="D1" s="61"/>
      <c r="E1" s="61"/>
    </row>
    <row r="2" customFormat="false" ht="15" hidden="false" customHeight="false" outlineLevel="0" collapsed="false">
      <c r="A2" s="9" t="s">
        <v>152</v>
      </c>
      <c r="B2" s="62" t="n">
        <f aca="false">PARAMETRES!B5</f>
        <v>0</v>
      </c>
    </row>
    <row r="3" customFormat="false" ht="15" hidden="false" customHeight="false" outlineLevel="0" collapsed="false">
      <c r="A3" s="9" t="s">
        <v>153</v>
      </c>
      <c r="B3" s="62" t="n">
        <f aca="false">PARAMETRES!B4</f>
        <v>0</v>
      </c>
    </row>
    <row r="4" customFormat="false" ht="13.5" hidden="false" customHeight="true" outlineLevel="0" collapsed="false">
      <c r="A4" s="63" t="s">
        <v>154</v>
      </c>
      <c r="B4" s="63"/>
      <c r="C4" s="63"/>
      <c r="D4" s="63"/>
      <c r="E4" s="63"/>
    </row>
    <row r="6" customFormat="false" ht="21.75" hidden="false" customHeight="true" outlineLevel="0" collapsed="false">
      <c r="A6" s="64" t="s">
        <v>155</v>
      </c>
      <c r="B6" s="64"/>
      <c r="D6" s="12" t="s">
        <v>156</v>
      </c>
      <c r="E6" s="12"/>
    </row>
    <row r="7" customFormat="false" ht="15" hidden="false" customHeight="true" outlineLevel="0" collapsed="false">
      <c r="A7" s="65" t="s">
        <v>157</v>
      </c>
      <c r="B7" s="65"/>
      <c r="D7" s="66" t="s">
        <v>158</v>
      </c>
      <c r="E7" s="66"/>
    </row>
    <row r="8" customFormat="false" ht="12.75" hidden="false" customHeight="true" outlineLevel="0" collapsed="false">
      <c r="A8" s="16" t="s">
        <v>159</v>
      </c>
      <c r="B8" s="17"/>
      <c r="D8" s="16" t="s">
        <v>160</v>
      </c>
      <c r="E8" s="17"/>
    </row>
    <row r="9" customFormat="false" ht="12.75" hidden="false" customHeight="true" outlineLevel="0" collapsed="false">
      <c r="A9" s="16" t="s">
        <v>161</v>
      </c>
      <c r="B9" s="17"/>
      <c r="D9" s="16" t="s">
        <v>162</v>
      </c>
      <c r="E9" s="17"/>
    </row>
    <row r="10" customFormat="false" ht="12.75" hidden="false" customHeight="true" outlineLevel="0" collapsed="false">
      <c r="A10" s="16" t="s">
        <v>60</v>
      </c>
      <c r="B10" s="17"/>
      <c r="D10" s="16" t="s">
        <v>35</v>
      </c>
      <c r="E10" s="17"/>
    </row>
    <row r="11" customFormat="false" ht="12.75" hidden="false" customHeight="true" outlineLevel="0" collapsed="false">
      <c r="A11" s="18" t="s">
        <v>163</v>
      </c>
      <c r="B11" s="19" t="n">
        <f aca="false">SUM(B8:B10)</f>
        <v>0</v>
      </c>
      <c r="D11" s="16" t="s">
        <v>60</v>
      </c>
      <c r="E11" s="17"/>
    </row>
    <row r="12" customFormat="false" ht="13.5" hidden="false" customHeight="true" outlineLevel="0" collapsed="false">
      <c r="A12" s="65" t="s">
        <v>164</v>
      </c>
      <c r="B12" s="65"/>
      <c r="D12" s="20" t="s">
        <v>165</v>
      </c>
      <c r="E12" s="21" t="n">
        <f aca="false">SUM(E8:E11)</f>
        <v>0</v>
      </c>
    </row>
    <row r="13" customFormat="false" ht="15" hidden="false" customHeight="true" outlineLevel="0" collapsed="false">
      <c r="A13" s="16" t="s">
        <v>166</v>
      </c>
      <c r="B13" s="17"/>
      <c r="D13" s="66" t="s">
        <v>41</v>
      </c>
      <c r="E13" s="66"/>
    </row>
    <row r="14" customFormat="false" ht="12.75" hidden="false" customHeight="true" outlineLevel="0" collapsed="false">
      <c r="A14" s="16" t="s">
        <v>167</v>
      </c>
      <c r="B14" s="17"/>
      <c r="D14" s="16" t="s">
        <v>168</v>
      </c>
      <c r="E14" s="17"/>
    </row>
    <row r="15" customFormat="false" ht="12.75" hidden="false" customHeight="true" outlineLevel="0" collapsed="false">
      <c r="A15" s="16" t="s">
        <v>60</v>
      </c>
      <c r="B15" s="17"/>
      <c r="D15" s="16" t="s">
        <v>169</v>
      </c>
      <c r="E15" s="17"/>
    </row>
    <row r="16" customFormat="false" ht="12.75" hidden="false" customHeight="true" outlineLevel="0" collapsed="false">
      <c r="A16" s="18" t="s">
        <v>170</v>
      </c>
      <c r="B16" s="19" t="n">
        <f aca="false">SUM(B13:B15)</f>
        <v>0</v>
      </c>
      <c r="D16" s="16" t="s">
        <v>171</v>
      </c>
      <c r="E16" s="17"/>
    </row>
    <row r="17" customFormat="false" ht="12.75" hidden="false" customHeight="true" outlineLevel="0" collapsed="false">
      <c r="A17" s="65" t="s">
        <v>172</v>
      </c>
      <c r="B17" s="65"/>
      <c r="D17" s="16" t="s">
        <v>173</v>
      </c>
      <c r="E17" s="17"/>
    </row>
    <row r="18" customFormat="false" ht="12.75" hidden="false" customHeight="true" outlineLevel="0" collapsed="false">
      <c r="A18" s="16" t="s">
        <v>174</v>
      </c>
      <c r="B18" s="17"/>
      <c r="D18" s="16" t="s">
        <v>60</v>
      </c>
      <c r="E18" s="17"/>
    </row>
    <row r="19" customFormat="false" ht="13.5" hidden="false" customHeight="true" outlineLevel="0" collapsed="false">
      <c r="A19" s="16" t="s">
        <v>175</v>
      </c>
      <c r="B19" s="17"/>
      <c r="D19" s="20" t="s">
        <v>176</v>
      </c>
      <c r="E19" s="21" t="n">
        <f aca="false">SUM(E14:E18)</f>
        <v>0</v>
      </c>
    </row>
    <row r="20" customFormat="false" ht="15" hidden="false" customHeight="true" outlineLevel="0" collapsed="false">
      <c r="A20" s="16" t="s">
        <v>60</v>
      </c>
      <c r="B20" s="17"/>
      <c r="D20" s="66" t="s">
        <v>61</v>
      </c>
      <c r="E20" s="66"/>
    </row>
    <row r="21" customFormat="false" ht="12.75" hidden="false" customHeight="true" outlineLevel="0" collapsed="false">
      <c r="A21" s="18" t="s">
        <v>177</v>
      </c>
      <c r="B21" s="19" t="n">
        <f aca="false">SUM(B18:B20)</f>
        <v>0</v>
      </c>
      <c r="D21" s="16" t="s">
        <v>178</v>
      </c>
      <c r="E21" s="17"/>
    </row>
    <row r="22" customFormat="false" ht="12.75" hidden="false" customHeight="true" outlineLevel="0" collapsed="false">
      <c r="A22" s="65" t="s">
        <v>179</v>
      </c>
      <c r="B22" s="65"/>
      <c r="D22" s="16" t="s">
        <v>60</v>
      </c>
      <c r="E22" s="17"/>
    </row>
    <row r="23" customFormat="false" ht="12.75" hidden="false" customHeight="true" outlineLevel="0" collapsed="false">
      <c r="A23" s="16" t="s">
        <v>166</v>
      </c>
      <c r="B23" s="17"/>
      <c r="D23" s="16" t="s">
        <v>180</v>
      </c>
      <c r="E23" s="17"/>
    </row>
    <row r="24" customFormat="false" ht="13.5" hidden="false" customHeight="true" outlineLevel="0" collapsed="false">
      <c r="A24" s="16" t="s">
        <v>181</v>
      </c>
      <c r="B24" s="17"/>
      <c r="D24" s="20" t="s">
        <v>182</v>
      </c>
      <c r="E24" s="21" t="n">
        <f aca="false">SUM(E21:E23)</f>
        <v>0</v>
      </c>
    </row>
    <row r="25" customFormat="false" ht="12.75" hidden="false" customHeight="true" outlineLevel="0" collapsed="false">
      <c r="A25" s="16" t="s">
        <v>183</v>
      </c>
      <c r="B25" s="17"/>
    </row>
    <row r="26" customFormat="false" ht="12.75" hidden="false" customHeight="true" outlineLevel="0" collapsed="false">
      <c r="A26" s="16" t="s">
        <v>60</v>
      </c>
      <c r="B26" s="17"/>
    </row>
    <row r="27" customFormat="false" ht="13.5" hidden="false" customHeight="true" outlineLevel="0" collapsed="false">
      <c r="A27" s="18" t="s">
        <v>184</v>
      </c>
      <c r="B27" s="19" t="n">
        <f aca="false">SUM(B23:B26)</f>
        <v>0</v>
      </c>
    </row>
    <row r="28" customFormat="false" ht="18" hidden="false" customHeight="true" outlineLevel="0" collapsed="false">
      <c r="A28" s="67" t="s">
        <v>185</v>
      </c>
      <c r="B28" s="68" t="n">
        <f aca="false">B11+B16+B21+B27</f>
        <v>0</v>
      </c>
      <c r="D28" s="24" t="s">
        <v>186</v>
      </c>
      <c r="E28" s="25" t="n">
        <f aca="false">E12+E19+E24</f>
        <v>0</v>
      </c>
    </row>
    <row r="30" customFormat="false" ht="21.75" hidden="false" customHeight="true" outlineLevel="0" collapsed="false">
      <c r="A30" s="55" t="s">
        <v>187</v>
      </c>
      <c r="B30" s="55"/>
      <c r="C30" s="55"/>
      <c r="D30" s="55"/>
      <c r="E30" s="55"/>
    </row>
    <row r="31" customFormat="false" ht="12.75" hidden="false" customHeight="true" outlineLevel="0" collapsed="false">
      <c r="A31" s="16" t="s">
        <v>188</v>
      </c>
      <c r="B31" s="17"/>
      <c r="D31" s="16" t="s">
        <v>188</v>
      </c>
      <c r="E31" s="17"/>
    </row>
    <row r="32" customFormat="false" ht="12.75" hidden="false" customHeight="true" outlineLevel="0" collapsed="false">
      <c r="A32" s="16" t="s">
        <v>189</v>
      </c>
      <c r="B32" s="17"/>
      <c r="D32" s="16" t="s">
        <v>189</v>
      </c>
      <c r="E32" s="17"/>
    </row>
    <row r="33" customFormat="false" ht="12.75" hidden="false" customHeight="true" outlineLevel="0" collapsed="false">
      <c r="A33" s="16" t="s">
        <v>60</v>
      </c>
      <c r="B33" s="17"/>
      <c r="D33" s="16" t="s">
        <v>60</v>
      </c>
      <c r="E33" s="17"/>
    </row>
    <row r="34" customFormat="false" ht="13.5" hidden="false" customHeight="true" outlineLevel="0" collapsed="false">
      <c r="A34" s="18" t="s">
        <v>190</v>
      </c>
      <c r="B34" s="19" t="n">
        <f aca="false">SUM(B31:B33)</f>
        <v>0</v>
      </c>
      <c r="D34" s="20" t="s">
        <v>190</v>
      </c>
      <c r="E34" s="21" t="n">
        <f aca="false">SUM(E31:E33)</f>
        <v>0</v>
      </c>
    </row>
    <row r="36" customFormat="false" ht="18" hidden="false" customHeight="true" outlineLevel="0" collapsed="false">
      <c r="A36" s="67" t="s">
        <v>191</v>
      </c>
      <c r="B36" s="68" t="n">
        <f aca="false">B28+B34</f>
        <v>0</v>
      </c>
      <c r="D36" s="24" t="s">
        <v>192</v>
      </c>
      <c r="E36" s="25" t="n">
        <f aca="false">E28+E34</f>
        <v>0</v>
      </c>
    </row>
    <row r="37" customFormat="false" ht="19.5" hidden="false" customHeight="true" outlineLevel="0" collapsed="false">
      <c r="A37" s="69" t="str">
        <f aca="false">IF(ABS(B36-E36)&gt;1,"⚠️ NON ÉQUILIBRÉ — écart : "&amp;TEXT(ABS(B36-E36),"#,##0")&amp;" €","✅ Budget équilibré — Total : "&amp;TEXT(B36,"#,##0")&amp;" €")</f>
        <v>✅ Budget équilibré — Total : 0 €</v>
      </c>
      <c r="B37" s="69"/>
      <c r="C37" s="69"/>
      <c r="D37" s="69"/>
      <c r="E37" s="69"/>
    </row>
  </sheetData>
  <mergeCells count="13">
    <mergeCell ref="A1:E1"/>
    <mergeCell ref="A4:E4"/>
    <mergeCell ref="A6:B6"/>
    <mergeCell ref="D6:E6"/>
    <mergeCell ref="A7:B7"/>
    <mergeCell ref="D7:E7"/>
    <mergeCell ref="A12:B12"/>
    <mergeCell ref="D13:E13"/>
    <mergeCell ref="A17:B17"/>
    <mergeCell ref="D20:E20"/>
    <mergeCell ref="A22:B22"/>
    <mergeCell ref="A30:E30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8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70" t="s">
        <v>193</v>
      </c>
      <c r="B1" s="70"/>
      <c r="C1" s="70"/>
      <c r="D1" s="70"/>
      <c r="E1" s="70"/>
    </row>
    <row r="2" customFormat="false" ht="13.5" hidden="false" customHeight="true" outlineLevel="0" collapsed="false">
      <c r="A2" s="2" t="s">
        <v>194</v>
      </c>
      <c r="B2" s="2"/>
      <c r="C2" s="2"/>
      <c r="D2" s="2"/>
      <c r="E2" s="2"/>
    </row>
    <row r="3" customFormat="false" ht="15" hidden="false" customHeight="false" outlineLevel="0" collapsed="false">
      <c r="A3" s="9" t="s">
        <v>24</v>
      </c>
      <c r="B3" s="62" t="n">
        <f aca="false">PARAMETRES!B4</f>
        <v>0</v>
      </c>
    </row>
    <row r="5" customFormat="false" ht="21.75" hidden="false" customHeight="true" outlineLevel="0" collapsed="false">
      <c r="A5" s="71" t="s">
        <v>26</v>
      </c>
      <c r="B5" s="71"/>
      <c r="D5" s="12" t="s">
        <v>195</v>
      </c>
      <c r="E5" s="12"/>
    </row>
    <row r="6" customFormat="false" ht="12.75" hidden="false" customHeight="true" outlineLevel="0" collapsed="false">
      <c r="A6" s="27" t="s">
        <v>196</v>
      </c>
      <c r="B6" s="17"/>
      <c r="D6" s="27" t="s">
        <v>197</v>
      </c>
      <c r="E6" s="17"/>
    </row>
    <row r="7" customFormat="false" ht="12.75" hidden="false" customHeight="true" outlineLevel="0" collapsed="false">
      <c r="A7" s="27" t="s">
        <v>198</v>
      </c>
      <c r="B7" s="17"/>
      <c r="D7" s="27" t="s">
        <v>199</v>
      </c>
      <c r="E7" s="17"/>
    </row>
    <row r="8" customFormat="false" ht="12.75" hidden="false" customHeight="true" outlineLevel="0" collapsed="false">
      <c r="A8" s="27" t="s">
        <v>200</v>
      </c>
      <c r="B8" s="17"/>
      <c r="D8" s="27" t="s">
        <v>201</v>
      </c>
      <c r="E8" s="17"/>
    </row>
    <row r="9" customFormat="false" ht="12.75" hidden="false" customHeight="true" outlineLevel="0" collapsed="false">
      <c r="A9" s="27" t="s">
        <v>202</v>
      </c>
      <c r="B9" s="17"/>
      <c r="D9" s="27" t="s">
        <v>203</v>
      </c>
      <c r="E9" s="17"/>
    </row>
    <row r="10" customFormat="false" ht="12.75" hidden="false" customHeight="true" outlineLevel="0" collapsed="false">
      <c r="A10" s="27" t="s">
        <v>204</v>
      </c>
      <c r="B10" s="17"/>
      <c r="D10" s="27" t="s">
        <v>205</v>
      </c>
      <c r="E10" s="17"/>
    </row>
    <row r="11" customFormat="false" ht="12.75" hidden="false" customHeight="true" outlineLevel="0" collapsed="false">
      <c r="A11" s="27" t="s">
        <v>206</v>
      </c>
      <c r="B11" s="17"/>
      <c r="D11" s="27" t="s">
        <v>207</v>
      </c>
      <c r="E11" s="17"/>
    </row>
    <row r="12" customFormat="false" ht="18" hidden="false" customHeight="true" outlineLevel="0" collapsed="false">
      <c r="A12" s="72" t="s">
        <v>208</v>
      </c>
      <c r="B12" s="73" t="n">
        <f aca="false">SUM(B6:B11)</f>
        <v>0</v>
      </c>
      <c r="D12" s="24" t="s">
        <v>209</v>
      </c>
      <c r="E12" s="25" t="n">
        <f aca="false">SUM(E6:E11)</f>
        <v>0</v>
      </c>
    </row>
    <row r="14" customFormat="false" ht="19.5" hidden="false" customHeight="true" outlineLevel="0" collapsed="false">
      <c r="A14" s="69" t="str">
        <f aca="false">IF(ABS(B12-E12)&gt;1,"⚠️ Écart : "&amp;TEXT(ABS(B12-E12),"#,##0")&amp;" €","✅ Budget équilibré")</f>
        <v>✅ Budget équilibré</v>
      </c>
      <c r="B14" s="69"/>
      <c r="C14" s="69"/>
      <c r="D14" s="69"/>
      <c r="E14" s="69"/>
    </row>
  </sheetData>
  <mergeCells count="5">
    <mergeCell ref="A1:E1"/>
    <mergeCell ref="A2:E2"/>
    <mergeCell ref="A5:B5"/>
    <mergeCell ref="D5:E5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</row>
    <row r="2" customFormat="false" ht="15" hidden="false" customHeight="false" outlineLevel="0" collapsed="false">
      <c r="A2" s="9" t="s">
        <v>24</v>
      </c>
      <c r="B2" s="10" t="n">
        <f aca="false">PARAMETRES!B4</f>
        <v>0</v>
      </c>
      <c r="D2" s="9" t="s">
        <v>25</v>
      </c>
      <c r="E2" s="10" t="n">
        <f aca="false">PARAMETRES!B5</f>
        <v>0</v>
      </c>
    </row>
    <row r="4" customFormat="false" ht="21.75" hidden="false" customHeight="true" outlineLevel="0" collapsed="false">
      <c r="A4" s="74" t="s">
        <v>26</v>
      </c>
      <c r="B4" s="74"/>
      <c r="D4" s="12" t="s">
        <v>211</v>
      </c>
      <c r="E4" s="12"/>
    </row>
    <row r="5" customFormat="false" ht="15" hidden="false" customHeight="true" outlineLevel="0" collapsed="false">
      <c r="A5" s="13" t="s">
        <v>212</v>
      </c>
      <c r="B5" s="13"/>
      <c r="D5" s="66" t="s">
        <v>213</v>
      </c>
      <c r="E5" s="66"/>
    </row>
    <row r="6" customFormat="false" ht="12.75" hidden="false" customHeight="true" outlineLevel="0" collapsed="false">
      <c r="A6" s="16" t="s">
        <v>214</v>
      </c>
      <c r="B6" s="17"/>
      <c r="D6" s="16" t="s">
        <v>215</v>
      </c>
      <c r="E6" s="17"/>
    </row>
    <row r="7" customFormat="false" ht="12.75" hidden="false" customHeight="true" outlineLevel="0" collapsed="false">
      <c r="A7" s="16" t="s">
        <v>216</v>
      </c>
      <c r="B7" s="17"/>
      <c r="D7" s="16" t="s">
        <v>217</v>
      </c>
      <c r="E7" s="17"/>
    </row>
    <row r="8" customFormat="false" ht="12.75" hidden="false" customHeight="true" outlineLevel="0" collapsed="false">
      <c r="A8" s="16" t="s">
        <v>218</v>
      </c>
      <c r="B8" s="17"/>
      <c r="D8" s="16" t="s">
        <v>219</v>
      </c>
      <c r="E8" s="17"/>
    </row>
    <row r="9" customFormat="false" ht="13.5" hidden="false" customHeight="true" outlineLevel="0" collapsed="false">
      <c r="A9" s="18" t="s">
        <v>220</v>
      </c>
      <c r="B9" s="19" t="n">
        <f aca="false">SUM(B6:B8)</f>
        <v>0</v>
      </c>
      <c r="D9" s="20" t="s">
        <v>221</v>
      </c>
      <c r="E9" s="21" t="n">
        <f aca="false">SUM(E6:E8)</f>
        <v>0</v>
      </c>
    </row>
    <row r="10" customFormat="false" ht="15" hidden="false" customHeight="true" outlineLevel="0" collapsed="false">
      <c r="A10" s="13" t="s">
        <v>222</v>
      </c>
      <c r="B10" s="13"/>
      <c r="D10" s="66" t="s">
        <v>223</v>
      </c>
      <c r="E10" s="66"/>
    </row>
    <row r="11" customFormat="false" ht="12.75" hidden="false" customHeight="true" outlineLevel="0" collapsed="false">
      <c r="A11" s="16" t="s">
        <v>224</v>
      </c>
      <c r="B11" s="17"/>
      <c r="D11" s="16" t="s">
        <v>225</v>
      </c>
      <c r="E11" s="17"/>
    </row>
    <row r="12" customFormat="false" ht="12.75" hidden="false" customHeight="true" outlineLevel="0" collapsed="false">
      <c r="A12" s="16" t="s">
        <v>226</v>
      </c>
      <c r="B12" s="17"/>
      <c r="D12" s="16" t="s">
        <v>227</v>
      </c>
      <c r="E12" s="17"/>
    </row>
    <row r="13" customFormat="false" ht="12.75" hidden="false" customHeight="true" outlineLevel="0" collapsed="false">
      <c r="A13" s="16" t="s">
        <v>228</v>
      </c>
      <c r="B13" s="17"/>
      <c r="D13" s="16" t="s">
        <v>229</v>
      </c>
      <c r="E13" s="17"/>
    </row>
    <row r="14" customFormat="false" ht="12.75" hidden="false" customHeight="true" outlineLevel="0" collapsed="false">
      <c r="A14" s="16" t="s">
        <v>230</v>
      </c>
      <c r="B14" s="17"/>
      <c r="D14" s="16" t="s">
        <v>231</v>
      </c>
      <c r="E14" s="17"/>
    </row>
    <row r="15" customFormat="false" ht="12.75" hidden="false" customHeight="true" outlineLevel="0" collapsed="false">
      <c r="A15" s="16" t="s">
        <v>232</v>
      </c>
      <c r="B15" s="17"/>
      <c r="D15" s="16" t="s">
        <v>233</v>
      </c>
      <c r="E15" s="17"/>
    </row>
    <row r="16" customFormat="false" ht="12.75" hidden="false" customHeight="true" outlineLevel="0" collapsed="false">
      <c r="A16" s="16" t="s">
        <v>234</v>
      </c>
      <c r="B16" s="17"/>
      <c r="D16" s="16" t="s">
        <v>235</v>
      </c>
      <c r="E16" s="17"/>
    </row>
    <row r="17" customFormat="false" ht="12.75" hidden="false" customHeight="true" outlineLevel="0" collapsed="false">
      <c r="A17" s="16" t="s">
        <v>236</v>
      </c>
      <c r="B17" s="17"/>
      <c r="D17" s="16" t="s">
        <v>237</v>
      </c>
      <c r="E17" s="17"/>
    </row>
    <row r="18" customFormat="false" ht="13.5" hidden="false" customHeight="true" outlineLevel="0" collapsed="false">
      <c r="A18" s="16" t="s">
        <v>238</v>
      </c>
      <c r="B18" s="17"/>
      <c r="D18" s="20" t="s">
        <v>239</v>
      </c>
      <c r="E18" s="21" t="n">
        <f aca="false">SUM(E11:E17)</f>
        <v>0</v>
      </c>
    </row>
    <row r="19" customFormat="false" ht="15" hidden="false" customHeight="true" outlineLevel="0" collapsed="false">
      <c r="A19" s="16" t="s">
        <v>240</v>
      </c>
      <c r="B19" s="17"/>
      <c r="D19" s="66" t="s">
        <v>241</v>
      </c>
      <c r="E19" s="66"/>
    </row>
    <row r="20" customFormat="false" ht="12.75" hidden="false" customHeight="true" outlineLevel="0" collapsed="false">
      <c r="A20" s="16" t="s">
        <v>242</v>
      </c>
      <c r="B20" s="17"/>
      <c r="D20" s="16" t="s">
        <v>243</v>
      </c>
      <c r="E20" s="17"/>
    </row>
    <row r="21" customFormat="false" ht="12.75" hidden="false" customHeight="true" outlineLevel="0" collapsed="false">
      <c r="A21" s="18" t="s">
        <v>244</v>
      </c>
      <c r="B21" s="19" t="n">
        <f aca="false">SUM(B11:B20)</f>
        <v>0</v>
      </c>
      <c r="D21" s="16" t="s">
        <v>245</v>
      </c>
      <c r="E21" s="17"/>
    </row>
    <row r="22" customFormat="false" ht="12.75" hidden="false" customHeight="true" outlineLevel="0" collapsed="false">
      <c r="A22" s="13" t="s">
        <v>246</v>
      </c>
      <c r="B22" s="13"/>
      <c r="D22" s="16" t="s">
        <v>247</v>
      </c>
      <c r="E22" s="17"/>
    </row>
    <row r="23" customFormat="false" ht="13.5" hidden="false" customHeight="true" outlineLevel="0" collapsed="false">
      <c r="A23" s="16" t="s">
        <v>248</v>
      </c>
      <c r="B23" s="17"/>
      <c r="D23" s="20" t="s">
        <v>249</v>
      </c>
      <c r="E23" s="21" t="n">
        <f aca="false">SUM(E20:E22)</f>
        <v>0</v>
      </c>
    </row>
    <row r="24" customFormat="false" ht="15" hidden="false" customHeight="true" outlineLevel="0" collapsed="false">
      <c r="A24" s="18" t="s">
        <v>250</v>
      </c>
      <c r="B24" s="19" t="n">
        <f aca="false">SUM(B23:B23)</f>
        <v>0</v>
      </c>
      <c r="D24" s="66" t="s">
        <v>251</v>
      </c>
      <c r="E24" s="66"/>
    </row>
    <row r="25" customFormat="false" ht="12.75" hidden="false" customHeight="true" outlineLevel="0" collapsed="false">
      <c r="A25" s="13" t="s">
        <v>252</v>
      </c>
      <c r="B25" s="13"/>
      <c r="D25" s="16" t="s">
        <v>253</v>
      </c>
      <c r="E25" s="17"/>
    </row>
    <row r="26" customFormat="false" ht="12.75" hidden="false" customHeight="true" outlineLevel="0" collapsed="false">
      <c r="A26" s="16" t="s">
        <v>254</v>
      </c>
      <c r="B26" s="17"/>
      <c r="D26" s="16" t="s">
        <v>255</v>
      </c>
      <c r="E26" s="17"/>
    </row>
    <row r="27" customFormat="false" ht="13.5" hidden="false" customHeight="true" outlineLevel="0" collapsed="false">
      <c r="A27" s="16" t="s">
        <v>256</v>
      </c>
      <c r="B27" s="17"/>
      <c r="D27" s="20" t="s">
        <v>257</v>
      </c>
      <c r="E27" s="21" t="n">
        <f aca="false">SUM(E25:E26)</f>
        <v>0</v>
      </c>
    </row>
    <row r="28" customFormat="false" ht="15" hidden="false" customHeight="true" outlineLevel="0" collapsed="false">
      <c r="A28" s="16" t="s">
        <v>258</v>
      </c>
      <c r="B28" s="17"/>
      <c r="D28" s="66" t="s">
        <v>259</v>
      </c>
      <c r="E28" s="66"/>
    </row>
    <row r="29" customFormat="false" ht="12.75" hidden="false" customHeight="true" outlineLevel="0" collapsed="false">
      <c r="A29" s="18" t="s">
        <v>260</v>
      </c>
      <c r="B29" s="19" t="n">
        <f aca="false">SUM(B26:B28)</f>
        <v>0</v>
      </c>
      <c r="D29" s="16" t="s">
        <v>261</v>
      </c>
      <c r="E29" s="17"/>
    </row>
    <row r="30" customFormat="false" ht="12.75" hidden="false" customHeight="true" outlineLevel="0" collapsed="false">
      <c r="A30" s="13" t="s">
        <v>262</v>
      </c>
      <c r="B30" s="13"/>
      <c r="D30" s="16" t="s">
        <v>263</v>
      </c>
      <c r="E30" s="17"/>
    </row>
    <row r="31" customFormat="false" ht="13.5" hidden="false" customHeight="true" outlineLevel="0" collapsed="false">
      <c r="A31" s="16" t="s">
        <v>264</v>
      </c>
      <c r="B31" s="17"/>
      <c r="D31" s="20" t="s">
        <v>265</v>
      </c>
      <c r="E31" s="21" t="n">
        <f aca="false">SUM(E29:E30)</f>
        <v>0</v>
      </c>
    </row>
    <row r="32" customFormat="false" ht="15" hidden="false" customHeight="true" outlineLevel="0" collapsed="false">
      <c r="A32" s="16" t="s">
        <v>266</v>
      </c>
      <c r="B32" s="17"/>
      <c r="D32" s="66" t="s">
        <v>267</v>
      </c>
      <c r="E32" s="66"/>
    </row>
    <row r="33" customFormat="false" ht="12.75" hidden="false" customHeight="true" outlineLevel="0" collapsed="false">
      <c r="A33" s="18" t="s">
        <v>268</v>
      </c>
      <c r="B33" s="19" t="n">
        <f aca="false">SUM(B31:B32)</f>
        <v>0</v>
      </c>
      <c r="D33" s="16" t="s">
        <v>269</v>
      </c>
      <c r="E33" s="17"/>
    </row>
    <row r="34" customFormat="false" ht="12.75" hidden="false" customHeight="true" outlineLevel="0" collapsed="false">
      <c r="A34" s="13" t="s">
        <v>270</v>
      </c>
      <c r="B34" s="13"/>
      <c r="D34" s="16" t="s">
        <v>271</v>
      </c>
      <c r="E34" s="17"/>
    </row>
    <row r="35" customFormat="false" ht="13.5" hidden="false" customHeight="true" outlineLevel="0" collapsed="false">
      <c r="A35" s="16" t="s">
        <v>272</v>
      </c>
      <c r="B35" s="17"/>
      <c r="D35" s="20" t="s">
        <v>273</v>
      </c>
      <c r="E35" s="21" t="n">
        <f aca="false">SUM(E33:E34)</f>
        <v>0</v>
      </c>
    </row>
    <row r="36" customFormat="false" ht="15" hidden="false" customHeight="true" outlineLevel="0" collapsed="false">
      <c r="A36" s="16" t="s">
        <v>274</v>
      </c>
      <c r="B36" s="17"/>
      <c r="D36" s="66" t="s">
        <v>275</v>
      </c>
      <c r="E36" s="66"/>
    </row>
    <row r="37" customFormat="false" ht="12.75" hidden="false" customHeight="true" outlineLevel="0" collapsed="false">
      <c r="A37" s="18" t="s">
        <v>276</v>
      </c>
      <c r="B37" s="19" t="n">
        <f aca="false">SUM(B35:B36)</f>
        <v>0</v>
      </c>
      <c r="D37" s="16" t="s">
        <v>277</v>
      </c>
      <c r="E37" s="17"/>
    </row>
    <row r="38" customFormat="false" ht="13.5" hidden="false" customHeight="true" outlineLevel="0" collapsed="false">
      <c r="A38" s="13" t="s">
        <v>278</v>
      </c>
      <c r="B38" s="13"/>
      <c r="D38" s="20" t="s">
        <v>279</v>
      </c>
      <c r="E38" s="21" t="n">
        <f aca="false">SUM(E37:E37)</f>
        <v>0</v>
      </c>
    </row>
    <row r="39" customFormat="false" ht="12.75" hidden="false" customHeight="true" outlineLevel="0" collapsed="false">
      <c r="A39" s="16" t="s">
        <v>280</v>
      </c>
      <c r="B39" s="17"/>
    </row>
    <row r="40" customFormat="false" ht="12.75" hidden="false" customHeight="true" outlineLevel="0" collapsed="false">
      <c r="A40" s="16" t="s">
        <v>281</v>
      </c>
      <c r="B40" s="17"/>
    </row>
    <row r="41" customFormat="false" ht="13.5" hidden="false" customHeight="true" outlineLevel="0" collapsed="false">
      <c r="A41" s="18" t="s">
        <v>282</v>
      </c>
      <c r="B41" s="19" t="n">
        <f aca="false">SUM(B39:B40)</f>
        <v>0</v>
      </c>
    </row>
    <row r="42" customFormat="false" ht="15" hidden="false" customHeight="true" outlineLevel="0" collapsed="false">
      <c r="A42" s="13" t="s">
        <v>283</v>
      </c>
      <c r="B42" s="13"/>
    </row>
    <row r="43" customFormat="false" ht="12.75" hidden="false" customHeight="true" outlineLevel="0" collapsed="false">
      <c r="A43" s="16" t="s">
        <v>284</v>
      </c>
      <c r="B43" s="17"/>
    </row>
    <row r="44" customFormat="false" ht="12.75" hidden="false" customHeight="true" outlineLevel="0" collapsed="false">
      <c r="A44" s="16" t="s">
        <v>285</v>
      </c>
      <c r="B44" s="17"/>
    </row>
    <row r="45" customFormat="false" ht="13.5" hidden="false" customHeight="true" outlineLevel="0" collapsed="false">
      <c r="A45" s="18" t="s">
        <v>286</v>
      </c>
      <c r="B45" s="19" t="n">
        <f aca="false">SUM(B43:B44)</f>
        <v>0</v>
      </c>
    </row>
    <row r="46" customFormat="false" ht="18" hidden="false" customHeight="true" outlineLevel="0" collapsed="false">
      <c r="A46" s="22" t="s">
        <v>87</v>
      </c>
      <c r="B46" s="23" t="n">
        <f aca="false">B9+B21+B24+B29+B33+B37+B41+B45</f>
        <v>0</v>
      </c>
      <c r="D46" s="24" t="s">
        <v>88</v>
      </c>
      <c r="E46" s="25" t="n">
        <f aca="false">E9+E18+E23+E27+E31+E35+E38</f>
        <v>0</v>
      </c>
    </row>
    <row r="48" customFormat="false" ht="21.75" hidden="false" customHeight="true" outlineLevel="0" collapsed="false">
      <c r="A48" s="75" t="str">
        <f aca="false">IF(E46-B46&gt;0,"✅ RÉSULTAT EXCÉDENTAIRE : +"&amp;TEXT(E46-B46,"#,##0")&amp;" €",IF(E46-B46&lt;0,"⚠️ RÉSULTAT DÉFICITAIRE : "&amp;TEXT(E46-B46,"#,##0")&amp;" €","✅ RÉSULTAT ÉQUILIBRÉ : 0 €"))</f>
        <v>✅ RÉSULTAT ÉQUILIBRÉ : 0 €</v>
      </c>
      <c r="B48" s="75"/>
      <c r="C48" s="75"/>
      <c r="D48" s="75"/>
      <c r="E48" s="75"/>
    </row>
  </sheetData>
  <mergeCells count="19">
    <mergeCell ref="A1:E1"/>
    <mergeCell ref="A4:B4"/>
    <mergeCell ref="D4:E4"/>
    <mergeCell ref="A5:B5"/>
    <mergeCell ref="D5:E5"/>
    <mergeCell ref="A10:B10"/>
    <mergeCell ref="D10:E10"/>
    <mergeCell ref="D19:E19"/>
    <mergeCell ref="A22:B22"/>
    <mergeCell ref="D24:E24"/>
    <mergeCell ref="A25:B25"/>
    <mergeCell ref="D28:E28"/>
    <mergeCell ref="A30:B30"/>
    <mergeCell ref="D32:E32"/>
    <mergeCell ref="A34:B34"/>
    <mergeCell ref="D36:E36"/>
    <mergeCell ref="A38:B38"/>
    <mergeCell ref="A42:B42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2026-03-20T11:09:53Z</dcterms:created>
  <dc:creator>openpyxl</dc:creator>
  <dc:description/>
  <dc:language>en-US</dc:language>
  <cp:lastModifiedBy/>
  <dcterms:modified xsi:type="dcterms:W3CDTF">2026-03-20T11:09:53Z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