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ÈTRES" sheetId="1" state="visible" r:id="rId1"/>
    <sheet xmlns:r="http://schemas.openxmlformats.org/officeDocument/2006/relationships" name="CHARGES" sheetId="2" state="visible" r:id="rId2"/>
    <sheet xmlns:r="http://schemas.openxmlformats.org/officeDocument/2006/relationships" name="FINANCEMENTS" sheetId="3" state="visible" r:id="rId3"/>
    <sheet xmlns:r="http://schemas.openxmlformats.org/officeDocument/2006/relationships" name="FAISABILIT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 €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880000"/>
      <sz val="9"/>
    </font>
    <font>
      <name val="Calibri"/>
      <color rgb="00333333"/>
      <sz val="9"/>
    </font>
    <font>
      <name val="Calibri"/>
      <b val="1"/>
      <color rgb="00FFFFFF"/>
      <sz val="11"/>
    </font>
    <font>
      <name val="Calibri"/>
      <i val="1"/>
      <color rgb="00AAAAAA"/>
      <sz val="10"/>
    </font>
    <font>
      <name val="Calibri"/>
      <color rgb="000D47A1"/>
      <sz val="10"/>
    </font>
    <font>
      <name val="Calibri"/>
      <b val="1"/>
      <color rgb="00FFFFFF"/>
      <sz val="9"/>
    </font>
    <font>
      <name val="Calibri"/>
      <color rgb="00333333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333333"/>
      <sz val="9"/>
    </font>
    <font>
      <name val="Calibri"/>
      <b val="1"/>
      <color rgb="00FFFFFF"/>
      <sz val="13"/>
    </font>
    <font>
      <name val="Calibri"/>
      <b val="1"/>
      <i val="1"/>
      <color rgb="00B71C1C"/>
      <sz val="9"/>
    </font>
    <font>
      <name val="Calibri"/>
      <sz val="10"/>
    </font>
    <font>
      <name val="Calibri"/>
      <i val="1"/>
      <color rgb="00333333"/>
      <sz val="11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8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FF9C4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FAFAFA"/>
      </patternFill>
    </fill>
    <fill>
      <patternFill patternType="solid">
        <fgColor rgb="00E0E0E0"/>
      </patternFill>
    </fill>
    <fill>
      <patternFill patternType="solid">
        <fgColor rgb="00FFEBEE"/>
      </patternFill>
    </fill>
  </fills>
  <borders count="24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/>
      <right/>
      <top style="thin">
        <color rgb="001A1A2E"/>
      </top>
      <bottom/>
      <diagonal/>
    </border>
    <border>
      <left/>
      <right style="thin">
        <color rgb="001A1A2E"/>
      </right>
      <top style="thin">
        <color rgb="001A1A2E"/>
      </top>
      <bottom/>
      <diagonal/>
    </border>
    <border>
      <left/>
      <right/>
      <top style="thin">
        <color rgb="001A1A2E"/>
      </top>
      <bottom style="thin">
        <color rgb="001A1A2E"/>
      </bottom>
      <diagonal/>
    </border>
    <border>
      <left/>
      <right style="thin">
        <color rgb="001A1A2E"/>
      </right>
      <top style="thin">
        <color rgb="001A1A2E"/>
      </top>
      <bottom style="thin">
        <color rgb="001A1A2E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  <border>
      <left style="thin">
        <color rgb="000F3460"/>
      </left>
      <right style="thin">
        <color rgb="000F3460"/>
      </right>
      <top style="thin">
        <color rgb="000F3460"/>
      </top>
      <bottom style="thin">
        <color rgb="000F3460"/>
      </bottom>
    </border>
    <border>
      <left/>
      <right/>
      <top style="thin">
        <color rgb="000F3460"/>
      </top>
      <bottom/>
      <diagonal/>
    </border>
    <border>
      <left/>
      <right style="thin">
        <color rgb="000F3460"/>
      </right>
      <top style="thin">
        <color rgb="000F3460"/>
      </top>
      <bottom/>
      <diagonal/>
    </border>
    <border>
      <left/>
      <right/>
      <top style="thin">
        <color rgb="000F3460"/>
      </top>
      <bottom style="thin">
        <color rgb="000F3460"/>
      </bottom>
      <diagonal/>
    </border>
    <border>
      <left/>
      <right style="thin">
        <color rgb="000F3460"/>
      </right>
      <top style="thin">
        <color rgb="000F3460"/>
      </top>
      <bottom style="thin">
        <color rgb="000F3460"/>
      </bottom>
      <diagonal/>
    </border>
    <border>
      <left/>
      <right/>
      <top style="thin">
        <color rgb="009E9E9E"/>
      </top>
      <bottom style="thin">
        <color rgb="009E9E9E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/>
      <right/>
      <top style="thin">
        <color rgb="001B5E20"/>
      </top>
      <bottom/>
      <diagonal/>
    </border>
    <border>
      <left/>
      <right style="thin">
        <color rgb="001B5E20"/>
      </right>
      <top style="thin">
        <color rgb="001B5E20"/>
      </top>
      <bottom/>
      <diagonal/>
    </border>
    <border>
      <left/>
      <right/>
      <top style="thin">
        <color rgb="001B5E20"/>
      </top>
      <bottom style="thin">
        <color rgb="001B5E20"/>
      </bottom>
      <diagonal/>
    </border>
    <border>
      <left/>
      <right style="thin">
        <color rgb="001B5E20"/>
      </right>
      <top style="thin">
        <color rgb="001B5E20"/>
      </top>
      <bottom style="thin">
        <color rgb="001B5E20"/>
      </bottom>
      <diagonal/>
    </border>
    <border>
      <left style="thin">
        <color rgb="00B71C1C"/>
      </left>
      <right style="thin">
        <color rgb="00B71C1C"/>
      </right>
      <top style="thin">
        <color rgb="00B71C1C"/>
      </top>
      <bottom style="thin">
        <color rgb="00B71C1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6" applyAlignment="1" pivotButton="0" quotePrefix="0" xfId="0">
      <alignment horizontal="left" vertical="center" wrapText="1"/>
    </xf>
    <xf numFmtId="0" fontId="0" fillId="5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5" fillId="4" borderId="6" applyAlignment="1" pivotButton="0" quotePrefix="0" xfId="0">
      <alignment horizontal="left" vertical="center" wrapText="1"/>
    </xf>
    <xf numFmtId="0" fontId="6" fillId="6" borderId="11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7" fillId="5" borderId="7" applyAlignment="1" pivotButton="0" quotePrefix="0" xfId="0">
      <alignment horizontal="left" vertical="center" wrapText="1"/>
    </xf>
    <xf numFmtId="3" fontId="8" fillId="5" borderId="7" applyAlignment="1" pivotButton="0" quotePrefix="0" xfId="0">
      <alignment horizontal="right" vertical="center"/>
    </xf>
    <xf numFmtId="0" fontId="0" fillId="0" borderId="16" pivotButton="0" quotePrefix="0" xfId="0"/>
    <xf numFmtId="0" fontId="9" fillId="7" borderId="6" applyAlignment="1" pivotButton="0" quotePrefix="0" xfId="0">
      <alignment horizontal="center" vertical="center"/>
    </xf>
    <xf numFmtId="9" fontId="8" fillId="5" borderId="7" applyAlignment="1" pivotButton="0" quotePrefix="0" xfId="0">
      <alignment horizontal="right" vertical="center"/>
    </xf>
    <xf numFmtId="164" fontId="10" fillId="8" borderId="17" applyAlignment="1" pivotButton="0" quotePrefix="0" xfId="0">
      <alignment horizontal="right" vertical="center"/>
    </xf>
    <xf numFmtId="3" fontId="10" fillId="8" borderId="17" applyAlignment="1" pivotButton="0" quotePrefix="0" xfId="0">
      <alignment horizontal="right" vertical="center"/>
    </xf>
    <xf numFmtId="0" fontId="11" fillId="9" borderId="18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165" fontId="10" fillId="10" borderId="17" applyAlignment="1" pivotButton="0" quotePrefix="0" xfId="0">
      <alignment horizontal="right" vertical="center"/>
    </xf>
    <xf numFmtId="0" fontId="11" fillId="11" borderId="23" applyAlignment="1" pivotButton="0" quotePrefix="0" xfId="0">
      <alignment horizontal="left" vertical="center"/>
    </xf>
    <xf numFmtId="165" fontId="10" fillId="12" borderId="17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165" fontId="10" fillId="8" borderId="17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11" fillId="7" borderId="6" applyAlignment="1" pivotButton="0" quotePrefix="0" xfId="0">
      <alignment horizontal="center" vertical="center"/>
    </xf>
    <xf numFmtId="0" fontId="11" fillId="6" borderId="6" applyAlignment="1" pivotButton="0" quotePrefix="0" xfId="0">
      <alignment horizontal="left" vertical="center"/>
    </xf>
    <xf numFmtId="0" fontId="0" fillId="13" borderId="7" applyAlignment="1" pivotButton="0" quotePrefix="0" xfId="0">
      <alignment horizontal="left" vertical="center" wrapText="1"/>
    </xf>
    <xf numFmtId="0" fontId="13" fillId="14" borderId="6" applyAlignment="1" pivotButton="0" quotePrefix="0" xfId="0">
      <alignment horizontal="right" vertical="center"/>
    </xf>
    <xf numFmtId="165" fontId="10" fillId="14" borderId="17" applyAlignment="1" pivotButton="0" quotePrefix="0" xfId="0">
      <alignment horizontal="right" vertical="center"/>
    </xf>
    <xf numFmtId="0" fontId="3" fillId="11" borderId="6" applyAlignment="1" pivotButton="0" quotePrefix="0" xfId="0">
      <alignment horizontal="right" vertical="center"/>
    </xf>
    <xf numFmtId="0" fontId="7" fillId="13" borderId="7" applyAlignment="1" pivotButton="0" quotePrefix="0" xfId="0">
      <alignment horizontal="left" vertical="center" wrapText="1"/>
    </xf>
    <xf numFmtId="0" fontId="7" fillId="15" borderId="7" applyAlignment="1" pivotButton="0" quotePrefix="0" xfId="0">
      <alignment horizontal="left" vertical="center" wrapText="1"/>
    </xf>
    <xf numFmtId="0" fontId="3" fillId="9" borderId="6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  <xf numFmtId="0" fontId="16" fillId="4" borderId="6" applyAlignment="1" pivotButton="0" quotePrefix="0" xfId="0">
      <alignment horizontal="left" vertical="center" wrapText="1"/>
    </xf>
    <xf numFmtId="0" fontId="10" fillId="5" borderId="6" applyAlignment="1" pivotButton="0" quotePrefix="0" xfId="0">
      <alignment horizontal="left" vertical="center" wrapText="1"/>
    </xf>
    <xf numFmtId="0" fontId="10" fillId="4" borderId="6" applyAlignment="1" pivotButton="0" quotePrefix="0" xfId="0">
      <alignment horizontal="left" vertical="center" wrapText="1"/>
    </xf>
    <xf numFmtId="0" fontId="10" fillId="8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4" customWidth="1" min="3" max="3"/>
    <col width="22" customWidth="1" min="4" max="4"/>
    <col width="22" customWidth="1" min="5" max="5"/>
    <col width="18" customWidth="1" min="6" max="6"/>
    <col width="14" customWidth="1" min="7" max="7"/>
  </cols>
  <sheetData>
    <row r="1" ht="36" customHeight="1">
      <c r="A1" s="1" t="inlineStr">
        <is>
          <t>ÉTUDE DE FAISABILITÉ PROJET — PAUSE KREYOL</t>
        </is>
      </c>
    </row>
    <row r="2" ht="16" customHeight="1">
      <c r="A2" s="2" t="inlineStr">
        <is>
          <t>🔵 Cellules bleues = à remplir par le client   |   🟡 Cellules jaunes = calculées automatiquement   |   🔴 Alertes = seuils réglementaires</t>
        </is>
      </c>
    </row>
    <row r="3" ht="22" customHeight="1">
      <c r="A3" s="3" t="inlineStr">
        <is>
          <t>A. INFORMATIONS GÉNÉRALES DU PROJET</t>
        </is>
      </c>
      <c r="B3" s="4" t="n"/>
      <c r="C3" s="4" t="n"/>
      <c r="D3" s="4" t="n"/>
      <c r="E3" s="4" t="n"/>
      <c r="F3" s="4" t="n"/>
      <c r="G3" s="5" t="n"/>
    </row>
    <row r="4" ht="20" customHeight="1">
      <c r="A4" s="6" t="inlineStr">
        <is>
          <t>★ Nom du projet *</t>
        </is>
      </c>
      <c r="B4" s="7" t="n"/>
    </row>
    <row r="5" ht="20" customHeight="1">
      <c r="A5" s="6" t="inlineStr">
        <is>
          <t>★ Structure porteuse *</t>
        </is>
      </c>
      <c r="B5" s="7" t="n"/>
    </row>
    <row r="6" ht="20" customHeight="1">
      <c r="A6" s="6" t="inlineStr">
        <is>
          <t>★ SIRET / NINEA *</t>
        </is>
      </c>
      <c r="B6" s="7" t="n"/>
      <c r="C6" s="8" t="n"/>
    </row>
    <row r="7" ht="20" customHeight="1">
      <c r="A7" s="9" t="inlineStr">
        <is>
          <t>Licence entrepreneur du spectacle</t>
        </is>
      </c>
      <c r="B7" s="7" t="n"/>
      <c r="C7" s="8" t="n"/>
    </row>
    <row r="8" ht="20" customHeight="1">
      <c r="A8" s="6" t="inlineStr">
        <is>
          <t>★ Responsable légal *</t>
        </is>
      </c>
      <c r="B8" s="7" t="n"/>
      <c r="C8" s="8" t="n"/>
    </row>
    <row r="9" ht="20" customHeight="1">
      <c r="A9" s="9" t="inlineStr">
        <is>
          <t>Directeur(rice) artistique</t>
        </is>
      </c>
      <c r="B9" s="7" t="n"/>
      <c r="C9" s="8" t="n"/>
    </row>
    <row r="10" ht="20" customHeight="1">
      <c r="A10" s="6" t="inlineStr">
        <is>
          <t>★ Email de contact *</t>
        </is>
      </c>
      <c r="B10" s="7" t="n"/>
      <c r="C10" s="8" t="n"/>
    </row>
    <row r="11" ht="20" customHeight="1">
      <c r="A11" s="6" t="inlineStr">
        <is>
          <t>★ Téléphone *</t>
        </is>
      </c>
      <c r="B11" s="7" t="n"/>
      <c r="C11" s="8" t="n"/>
    </row>
    <row r="12" ht="22" customHeight="1">
      <c r="A12" s="10" t="inlineStr">
        <is>
          <t>B. DATES, LIEU &amp; FORMAT</t>
        </is>
      </c>
      <c r="B12" s="11" t="n"/>
      <c r="C12" s="11" t="n"/>
      <c r="D12" s="11" t="n"/>
      <c r="E12" s="11" t="n"/>
      <c r="F12" s="11" t="n"/>
      <c r="G12" s="12" t="n"/>
    </row>
    <row r="13" ht="20" customHeight="1">
      <c r="A13" s="6" t="inlineStr">
        <is>
          <t>★ Date(s) de l'événement *</t>
        </is>
      </c>
      <c r="B13" s="13" t="inlineStr">
        <is>
          <t>ex: 22-24 octobre 2026</t>
        </is>
      </c>
      <c r="D13" s="6" t="inlineStr">
        <is>
          <t>★ Durée totale (jours) *</t>
        </is>
      </c>
      <c r="E13" s="14" t="n">
        <v>1</v>
      </c>
    </row>
    <row r="14" ht="20" customHeight="1">
      <c r="A14" s="6" t="inlineStr">
        <is>
          <t>★ Lieu(x) de réalisation *</t>
        </is>
      </c>
      <c r="B14" s="13" t="inlineStr">
        <is>
          <t>Nom du lieu, ville</t>
        </is>
      </c>
      <c r="D14" s="6" t="inlineStr">
        <is>
          <t>★ Jauge totale max *</t>
        </is>
      </c>
      <c r="E14" s="14" t="n">
        <v>0</v>
      </c>
    </row>
    <row r="15" ht="20" customHeight="1">
      <c r="A15" s="6" t="inlineStr">
        <is>
          <t>★ Type d'événement *</t>
        </is>
      </c>
      <c r="B15" s="7" t="n"/>
      <c r="D15" s="6" t="inlineStr">
        <is>
          <t>★ Nb de séances / soirées *</t>
        </is>
      </c>
      <c r="E15" s="14" t="n">
        <v>1</v>
      </c>
    </row>
    <row r="16" ht="36" customHeight="1">
      <c r="A16" s="6" t="inlineStr">
        <is>
          <t>★ Description courte *</t>
        </is>
      </c>
      <c r="B16" s="13" t="inlineStr">
        <is>
          <t>Description en 2-3 lignes max</t>
        </is>
      </c>
      <c r="C16" s="15" t="n"/>
      <c r="D16" s="15" t="n"/>
      <c r="E16" s="15" t="n"/>
      <c r="F16" s="15" t="n"/>
      <c r="G16" s="8" t="n"/>
    </row>
    <row r="17" ht="22" customHeight="1">
      <c r="A17" s="10" t="inlineStr">
        <is>
          <t>C. HYPOTHÈSES DE BILLETTERIE</t>
        </is>
      </c>
      <c r="B17" s="11" t="n"/>
      <c r="C17" s="11" t="n"/>
      <c r="D17" s="11" t="n"/>
      <c r="E17" s="11" t="n"/>
      <c r="F17" s="11" t="n"/>
      <c r="G17" s="12" t="n"/>
    </row>
    <row r="18" ht="18" customHeight="1">
      <c r="A18" s="16" t="inlineStr">
        <is>
          <t>Séance / Soirée</t>
        </is>
      </c>
      <c r="B18" s="16" t="inlineStr">
        <is>
          <t>Jauge max</t>
        </is>
      </c>
      <c r="C18" s="16" t="inlineStr">
        <is>
          <t>Taux remplissage estimé</t>
        </is>
      </c>
      <c r="D18" s="16" t="inlineStr">
        <is>
          <t>Nb spectateurs estimés</t>
        </is>
      </c>
      <c r="E18" s="16" t="inlineStr">
        <is>
          <t>Prix prévente (€)</t>
        </is>
      </c>
      <c r="F18" s="16" t="inlineStr">
        <is>
          <t>Prix plein tarif (€)</t>
        </is>
      </c>
      <c r="G18" s="16" t="inlineStr">
        <is>
          <t>Recettes estimées (€)</t>
        </is>
      </c>
    </row>
    <row r="19" ht="20" customHeight="1">
      <c r="A19" s="13" t="inlineStr">
        <is>
          <t>Séance 1</t>
        </is>
      </c>
      <c r="B19" s="14" t="n">
        <v>0</v>
      </c>
      <c r="C19" s="17" t="n">
        <v>0.7</v>
      </c>
      <c r="D19" s="18">
        <f>B19*C19</f>
        <v/>
      </c>
      <c r="E19" s="14" t="n">
        <v>0</v>
      </c>
      <c r="F19" s="14" t="n">
        <v>0</v>
      </c>
      <c r="G19" s="19">
        <f>D19*(C19*0.4*E19+C19*0.6*F19)</f>
        <v/>
      </c>
    </row>
    <row r="20" ht="20" customHeight="1">
      <c r="A20" s="13" t="inlineStr">
        <is>
          <t>Séance 2</t>
        </is>
      </c>
      <c r="B20" s="14" t="n">
        <v>0</v>
      </c>
      <c r="C20" s="17" t="n">
        <v>0.7</v>
      </c>
      <c r="D20" s="18">
        <f>B20*C20</f>
        <v/>
      </c>
      <c r="E20" s="14" t="n">
        <v>0</v>
      </c>
      <c r="F20" s="14" t="n">
        <v>0</v>
      </c>
      <c r="G20" s="19">
        <f>D20*(C20*0.4*E20+C20*0.6*F20)</f>
        <v/>
      </c>
    </row>
    <row r="21" ht="20" customHeight="1">
      <c r="A21" s="13" t="inlineStr">
        <is>
          <t>Séance 3</t>
        </is>
      </c>
      <c r="B21" s="14" t="n">
        <v>0</v>
      </c>
      <c r="C21" s="17" t="n">
        <v>0.7</v>
      </c>
      <c r="D21" s="18">
        <f>B21*C21</f>
        <v/>
      </c>
      <c r="E21" s="14" t="n">
        <v>0</v>
      </c>
      <c r="F21" s="14" t="n">
        <v>0</v>
      </c>
      <c r="G21" s="19">
        <f>D21*(C21*0.4*E21+C21*0.6*F21)</f>
        <v/>
      </c>
    </row>
    <row r="22" ht="20" customHeight="1">
      <c r="A22" s="13" t="inlineStr">
        <is>
          <t>Séance 4</t>
        </is>
      </c>
      <c r="B22" s="14" t="n">
        <v>0</v>
      </c>
      <c r="C22" s="17" t="n">
        <v>0.7</v>
      </c>
      <c r="D22" s="18">
        <f>B22*C22</f>
        <v/>
      </c>
      <c r="E22" s="14" t="n">
        <v>0</v>
      </c>
      <c r="F22" s="14" t="n">
        <v>0</v>
      </c>
      <c r="G22" s="19">
        <f>D22*(C22*0.4*E22+C22*0.6*F22)</f>
        <v/>
      </c>
    </row>
    <row r="23" ht="20" customHeight="1">
      <c r="A23" s="20" t="inlineStr">
        <is>
          <t>TOTAL BILLETTERIE ESTIMÉ</t>
        </is>
      </c>
      <c r="B23" s="21" t="n"/>
      <c r="C23" s="21" t="n"/>
      <c r="D23" s="21" t="n"/>
      <c r="E23" s="21" t="n"/>
      <c r="F23" s="22" t="n"/>
      <c r="G23" s="23">
        <f>SUM(G19:G22)</f>
        <v/>
      </c>
    </row>
    <row r="24" ht="22" customHeight="1">
      <c r="A24" s="10" t="inlineStr">
        <is>
          <t>D. BUDGET PRÉVISIONNEL GLOBAL</t>
        </is>
      </c>
      <c r="B24" s="11" t="n"/>
      <c r="C24" s="11" t="n"/>
      <c r="D24" s="11" t="n"/>
      <c r="E24" s="11" t="n"/>
      <c r="F24" s="11" t="n"/>
      <c r="G24" s="12" t="n"/>
    </row>
    <row r="25" ht="18" customHeight="1">
      <c r="A25" s="16" t="inlineStr">
        <is>
          <t>Poste</t>
        </is>
      </c>
      <c r="B25" s="16" t="inlineStr">
        <is>
          <t>Montant prudent (€)</t>
        </is>
      </c>
      <c r="C25" s="16" t="inlineStr">
        <is>
          <t>Montant optimiste (€)</t>
        </is>
      </c>
      <c r="D25" s="16" t="inlineStr"/>
      <c r="E25" s="16" t="inlineStr">
        <is>
          <t>Poste</t>
        </is>
      </c>
      <c r="F25" s="16" t="inlineStr">
        <is>
          <t>Montant prudent (€)</t>
        </is>
      </c>
      <c r="G25" s="16" t="inlineStr">
        <is>
          <t>Montant optimiste (€)</t>
        </is>
      </c>
    </row>
    <row r="26" ht="20" customHeight="1">
      <c r="A26" s="9" t="inlineStr">
        <is>
          <t>Plateau artistique (cachets)</t>
        </is>
      </c>
      <c r="B26" s="14" t="n">
        <v>0</v>
      </c>
      <c r="C26" s="14" t="n">
        <v>0</v>
      </c>
      <c r="E26" s="9" t="inlineStr">
        <is>
          <t>Billetterie</t>
        </is>
      </c>
      <c r="F26" s="19">
        <f>G23</f>
        <v/>
      </c>
      <c r="G26" s="19">
        <f>G23</f>
        <v/>
      </c>
    </row>
    <row r="27" ht="20" customHeight="1">
      <c r="A27" s="9" t="inlineStr">
        <is>
          <t>Technique &amp; production</t>
        </is>
      </c>
      <c r="B27" s="14" t="n">
        <v>0</v>
      </c>
      <c r="C27" s="14" t="n">
        <v>0</v>
      </c>
      <c r="E27" s="9" t="inlineStr">
        <is>
          <t>Subventions publiques</t>
        </is>
      </c>
      <c r="F27" s="14" t="n">
        <v>0</v>
      </c>
      <c r="G27" s="14" t="n">
        <v>0</v>
      </c>
    </row>
    <row r="28" ht="20" customHeight="1">
      <c r="A28" s="9" t="inlineStr">
        <is>
          <t>Transports &amp; hébergement</t>
        </is>
      </c>
      <c r="B28" s="14" t="n">
        <v>0</v>
      </c>
      <c r="C28" s="14" t="n">
        <v>0</v>
      </c>
      <c r="E28" s="9" t="inlineStr">
        <is>
          <t>Mécénat &amp; sponsors privés</t>
        </is>
      </c>
      <c r="F28" s="14" t="n">
        <v>0</v>
      </c>
      <c r="G28" s="14" t="n">
        <v>0</v>
      </c>
    </row>
    <row r="29" ht="20" customHeight="1">
      <c r="A29" s="9" t="inlineStr">
        <is>
          <t>Catering / perdiem</t>
        </is>
      </c>
      <c r="B29" s="14" t="n">
        <v>0</v>
      </c>
      <c r="C29" s="14" t="n">
        <v>0</v>
      </c>
      <c r="E29" s="9" t="inlineStr">
        <is>
          <t>Apports en nature (valorisés)</t>
        </is>
      </c>
      <c r="F29" s="14" t="n">
        <v>0</v>
      </c>
      <c r="G29" s="14" t="n">
        <v>0</v>
      </c>
    </row>
    <row r="30" ht="20" customHeight="1">
      <c r="A30" s="9" t="inlineStr">
        <is>
          <t>Communication &amp; com</t>
        </is>
      </c>
      <c r="B30" s="14" t="n">
        <v>0</v>
      </c>
      <c r="C30" s="14" t="n">
        <v>0</v>
      </c>
      <c r="E30" s="9" t="inlineStr">
        <is>
          <t>Coproductions</t>
        </is>
      </c>
      <c r="F30" s="14" t="n">
        <v>0</v>
      </c>
      <c r="G30" s="14" t="n">
        <v>0</v>
      </c>
    </row>
    <row r="31" ht="20" customHeight="1">
      <c r="A31" s="9" t="inlineStr">
        <is>
          <t>Frais fixes &amp; gestion</t>
        </is>
      </c>
      <c r="B31" s="14" t="n">
        <v>0</v>
      </c>
      <c r="C31" s="14" t="n">
        <v>0</v>
      </c>
      <c r="E31" s="9" t="inlineStr">
        <is>
          <t>Autres recettes</t>
        </is>
      </c>
      <c r="F31" s="14" t="n">
        <v>0</v>
      </c>
      <c r="G31" s="14" t="n">
        <v>0</v>
      </c>
    </row>
    <row r="32" ht="20" customHeight="1">
      <c r="A32" s="9" t="inlineStr">
        <is>
          <t>Droits &amp; assurances</t>
        </is>
      </c>
      <c r="B32" s="14" t="n">
        <v>0</v>
      </c>
      <c r="C32" s="14" t="n">
        <v>0</v>
      </c>
    </row>
    <row r="33" ht="20" customHeight="1">
      <c r="A33" s="9" t="inlineStr">
        <is>
          <t>Autres charges</t>
        </is>
      </c>
      <c r="B33" s="14" t="n">
        <v>0</v>
      </c>
      <c r="C33" s="14" t="n">
        <v>0</v>
      </c>
    </row>
    <row r="34" ht="22" customHeight="1">
      <c r="A34" s="24" t="inlineStr">
        <is>
          <t>TOTAL CHARGES</t>
        </is>
      </c>
      <c r="B34" s="25">
        <f>SUM(B26:B33)</f>
        <v/>
      </c>
      <c r="C34" s="25">
        <f>SUM(C26:C33)</f>
        <v/>
      </c>
      <c r="E34" s="20" t="inlineStr">
        <is>
          <t>TOTAL RECETTES</t>
        </is>
      </c>
      <c r="F34" s="23">
        <f>SUM(F26:F33)</f>
        <v/>
      </c>
      <c r="G34" s="23">
        <f>SUM(G26:G33)</f>
        <v/>
      </c>
    </row>
    <row r="35" ht="24" customHeight="1">
      <c r="A35" s="26" t="inlineStr">
        <is>
          <t>SOLDE PRÉVISIONNEL (Recettes - Charges)</t>
        </is>
      </c>
      <c r="B35" s="4" t="n"/>
      <c r="C35" s="4" t="n"/>
      <c r="D35" s="4" t="n"/>
      <c r="E35" s="5" t="n"/>
      <c r="F35" s="27">
        <f>F34-B34</f>
        <v/>
      </c>
      <c r="G35" s="27">
        <f>G34-C34</f>
        <v/>
      </c>
    </row>
  </sheetData>
  <mergeCells count="16">
    <mergeCell ref="B16:G16"/>
    <mergeCell ref="B6:C6"/>
    <mergeCell ref="A35:E35"/>
    <mergeCell ref="A1:G1"/>
    <mergeCell ref="A17:G17"/>
    <mergeCell ref="B7:C7"/>
    <mergeCell ref="B11:C11"/>
    <mergeCell ref="A34"/>
    <mergeCell ref="A3:G3"/>
    <mergeCell ref="A23:F23"/>
    <mergeCell ref="B10:C10"/>
    <mergeCell ref="A12:G12"/>
    <mergeCell ref="A24:G24"/>
    <mergeCell ref="A2:G2"/>
    <mergeCell ref="B9:C9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28" t="inlineStr">
        <is>
          <t>CHARGES DÉTAILLÉES — Remplir les cases bleues</t>
        </is>
      </c>
    </row>
    <row r="2" ht="18" customHeight="1">
      <c r="A2" s="29" t="inlineStr">
        <is>
          <t>Poste de charge</t>
        </is>
      </c>
      <c r="B2" s="29" t="inlineStr">
        <is>
          <t>Commentaire / détail</t>
        </is>
      </c>
      <c r="C2" s="29" t="inlineStr">
        <is>
          <t>J1</t>
        </is>
      </c>
      <c r="D2" s="29" t="inlineStr">
        <is>
          <t>J2</t>
        </is>
      </c>
      <c r="E2" s="29" t="inlineStr">
        <is>
          <t>J3</t>
        </is>
      </c>
      <c r="F2" s="29" t="inlineStr">
        <is>
          <t>TOTAL</t>
        </is>
      </c>
    </row>
    <row r="3" ht="22" customHeight="1">
      <c r="A3" s="30" t="inlineStr">
        <is>
          <t xml:space="preserve">  ▌ A. PLATEAU ARTISTIQUE</t>
        </is>
      </c>
    </row>
    <row r="4" ht="20" customHeight="1">
      <c r="A4" s="9" t="inlineStr">
        <is>
          <t>Artiste principal / Tête d'affiche</t>
        </is>
      </c>
      <c r="B4" s="31" t="n"/>
      <c r="C4" s="14" t="n">
        <v>0</v>
      </c>
      <c r="D4" s="14" t="n">
        <v>0</v>
      </c>
      <c r="E4" s="14" t="n">
        <v>0</v>
      </c>
      <c r="F4" s="27">
        <f>C4+D4+E4</f>
        <v/>
      </c>
    </row>
    <row r="5" ht="20" customHeight="1">
      <c r="A5" s="9" t="inlineStr">
        <is>
          <t>Artistes invités</t>
        </is>
      </c>
      <c r="B5" s="31" t="n"/>
      <c r="C5" s="14" t="n">
        <v>0</v>
      </c>
      <c r="D5" s="14" t="n">
        <v>0</v>
      </c>
      <c r="E5" s="14" t="n">
        <v>0</v>
      </c>
      <c r="F5" s="27">
        <f>C5+D5+E5</f>
        <v/>
      </c>
    </row>
    <row r="6" ht="20" customHeight="1">
      <c r="A6" s="9" t="inlineStr">
        <is>
          <t>Musiciens / Instrumentistes</t>
        </is>
      </c>
      <c r="B6" s="31" t="n"/>
      <c r="C6" s="14" t="n">
        <v>0</v>
      </c>
      <c r="D6" s="14" t="n">
        <v>0</v>
      </c>
      <c r="E6" s="14" t="n">
        <v>0</v>
      </c>
      <c r="F6" s="27">
        <f>C6+D6+E6</f>
        <v/>
      </c>
    </row>
    <row r="7" ht="20" customHeight="1">
      <c r="A7" s="9" t="inlineStr">
        <is>
          <t>Danseurs / Performers</t>
        </is>
      </c>
      <c r="B7" s="31" t="n"/>
      <c r="C7" s="14" t="n">
        <v>0</v>
      </c>
      <c r="D7" s="14" t="n">
        <v>0</v>
      </c>
      <c r="E7" s="14" t="n">
        <v>0</v>
      </c>
      <c r="F7" s="27">
        <f>C7+D7+E7</f>
        <v/>
      </c>
    </row>
    <row r="8" ht="20" customHeight="1">
      <c r="A8" s="9" t="inlineStr">
        <is>
          <t>DJ / Techniciens artistiques</t>
        </is>
      </c>
      <c r="B8" s="31" t="n"/>
      <c r="C8" s="14" t="n">
        <v>0</v>
      </c>
      <c r="D8" s="14" t="n">
        <v>0</v>
      </c>
      <c r="E8" s="14" t="n">
        <v>0</v>
      </c>
      <c r="F8" s="27">
        <f>C8+D8+E8</f>
        <v/>
      </c>
    </row>
    <row r="9" ht="20" customHeight="1">
      <c r="A9" s="9" t="inlineStr">
        <is>
          <t>Host / Animateur(rice)</t>
        </is>
      </c>
      <c r="B9" s="31" t="n"/>
      <c r="C9" s="14" t="n">
        <v>0</v>
      </c>
      <c r="D9" s="14" t="n">
        <v>0</v>
      </c>
      <c r="E9" s="14" t="n">
        <v>0</v>
      </c>
      <c r="F9" s="27">
        <f>C9+D9+E9</f>
        <v/>
      </c>
    </row>
    <row r="10" ht="20" customHeight="1">
      <c r="A10" s="9" t="inlineStr">
        <is>
          <t>Prix / Dotations (battles, concours)</t>
        </is>
      </c>
      <c r="B10" s="31" t="n"/>
      <c r="C10" s="14" t="n">
        <v>0</v>
      </c>
      <c r="D10" s="14" t="n">
        <v>0</v>
      </c>
      <c r="E10" s="14" t="n">
        <v>0</v>
      </c>
      <c r="F10" s="27">
        <f>C10+D10+E10</f>
        <v/>
      </c>
    </row>
    <row r="11" ht="20" customHeight="1">
      <c r="A11" s="9" t="inlineStr">
        <is>
          <t>Charges sociales artistes (~40% GUSO)</t>
        </is>
      </c>
      <c r="B11" s="31" t="n"/>
      <c r="C11" s="14" t="n">
        <v>0</v>
      </c>
      <c r="D11" s="14" t="n">
        <v>0</v>
      </c>
      <c r="E11" s="14" t="n">
        <v>0</v>
      </c>
      <c r="F11" s="27">
        <f>C11+D11+E11</f>
        <v/>
      </c>
    </row>
    <row r="12" ht="20" customHeight="1">
      <c r="A12" s="32" t="inlineStr">
        <is>
          <t>SOUS-TOTAL PLATEAU ARTISTIQUE</t>
        </is>
      </c>
      <c r="F12" s="33">
        <f>SUM(F4:F11)</f>
        <v/>
      </c>
    </row>
    <row r="13" ht="22" customHeight="1">
      <c r="A13" s="30" t="inlineStr">
        <is>
          <t xml:space="preserve">  ▌ B. TECHNIQUE &amp; PRODUCTION</t>
        </is>
      </c>
    </row>
    <row r="14" ht="20" customHeight="1">
      <c r="A14" s="9" t="inlineStr">
        <is>
          <t>Technicien(s) son</t>
        </is>
      </c>
      <c r="B14" s="31" t="n"/>
      <c r="C14" s="14" t="n">
        <v>0</v>
      </c>
      <c r="D14" s="14" t="n">
        <v>0</v>
      </c>
      <c r="E14" s="14" t="n">
        <v>0</v>
      </c>
      <c r="F14" s="27">
        <f>C14+D14+E14</f>
        <v/>
      </c>
    </row>
    <row r="15" ht="20" customHeight="1">
      <c r="A15" s="9" t="inlineStr">
        <is>
          <t>Technicien(s) lumière</t>
        </is>
      </c>
      <c r="B15" s="31" t="n"/>
      <c r="C15" s="14" t="n">
        <v>0</v>
      </c>
      <c r="D15" s="14" t="n">
        <v>0</v>
      </c>
      <c r="E15" s="14" t="n">
        <v>0</v>
      </c>
      <c r="F15" s="27">
        <f>C15+D15+E15</f>
        <v/>
      </c>
    </row>
    <row r="16" ht="20" customHeight="1">
      <c r="A16" s="9" t="inlineStr">
        <is>
          <t>Location matériel technique</t>
        </is>
      </c>
      <c r="B16" s="31" t="n"/>
      <c r="C16" s="14" t="n">
        <v>0</v>
      </c>
      <c r="D16" s="14" t="n">
        <v>0</v>
      </c>
      <c r="E16" s="14" t="n">
        <v>0</v>
      </c>
      <c r="F16" s="27">
        <f>C16+D16+E16</f>
        <v/>
      </c>
    </row>
    <row r="17" ht="20" customHeight="1">
      <c r="A17" s="9" t="inlineStr">
        <is>
          <t>Régie générale</t>
        </is>
      </c>
      <c r="B17" s="31" t="n"/>
      <c r="C17" s="14" t="n">
        <v>0</v>
      </c>
      <c r="D17" s="14" t="n">
        <v>0</v>
      </c>
      <c r="E17" s="14" t="n">
        <v>0</v>
      </c>
      <c r="F17" s="27">
        <f>C17+D17+E17</f>
        <v/>
      </c>
    </row>
    <row r="18" ht="20" customHeight="1">
      <c r="A18" s="9" t="inlineStr">
        <is>
          <t>Décors / Scénographie</t>
        </is>
      </c>
      <c r="B18" s="31" t="n"/>
      <c r="C18" s="14" t="n">
        <v>0</v>
      </c>
      <c r="D18" s="14" t="n">
        <v>0</v>
      </c>
      <c r="E18" s="14" t="n">
        <v>0</v>
      </c>
      <c r="F18" s="27">
        <f>C18+D18+E18</f>
        <v/>
      </c>
    </row>
    <row r="19" ht="20" customHeight="1">
      <c r="A19" s="9" t="inlineStr">
        <is>
          <t>Sécurité (prestataire)</t>
        </is>
      </c>
      <c r="B19" s="31" t="n"/>
      <c r="C19" s="14" t="n">
        <v>0</v>
      </c>
      <c r="D19" s="14" t="n">
        <v>0</v>
      </c>
      <c r="E19" s="14" t="n">
        <v>0</v>
      </c>
      <c r="F19" s="27">
        <f>C19+D19+E19</f>
        <v/>
      </c>
    </row>
    <row r="20" ht="20" customHeight="1">
      <c r="A20" s="32" t="inlineStr">
        <is>
          <t>SOUS-TOTAL TECHNIQUE &amp; PRODUCTION</t>
        </is>
      </c>
      <c r="F20" s="33">
        <f>SUM(F14:F19)</f>
        <v/>
      </c>
    </row>
    <row r="21" ht="22" customHeight="1">
      <c r="A21" s="30" t="inlineStr">
        <is>
          <t xml:space="preserve">  ▌ C. TRANSPORTS &amp; HÉBERGEMENT</t>
        </is>
      </c>
    </row>
    <row r="22" ht="20" customHeight="1">
      <c r="A22" s="9" t="inlineStr">
        <is>
          <t>Vols internationaux artistes</t>
        </is>
      </c>
      <c r="B22" s="31" t="n"/>
      <c r="C22" s="14" t="n">
        <v>0</v>
      </c>
      <c r="D22" s="14" t="n">
        <v>0</v>
      </c>
      <c r="E22" s="14" t="n">
        <v>0</v>
      </c>
      <c r="F22" s="27">
        <f>C22+D22+E22</f>
        <v/>
      </c>
    </row>
    <row r="23" ht="20" customHeight="1">
      <c r="A23" s="9" t="inlineStr">
        <is>
          <t>Vols domestiques / Eurostar</t>
        </is>
      </c>
      <c r="B23" s="31" t="n"/>
      <c r="C23" s="14" t="n">
        <v>0</v>
      </c>
      <c r="D23" s="14" t="n">
        <v>0</v>
      </c>
      <c r="E23" s="14" t="n">
        <v>0</v>
      </c>
      <c r="F23" s="27">
        <f>C23+D23+E23</f>
        <v/>
      </c>
    </row>
    <row r="24" ht="20" customHeight="1">
      <c r="A24" s="9" t="inlineStr">
        <is>
          <t>Déplacements locaux (taxi, RER, etc.)</t>
        </is>
      </c>
      <c r="B24" s="31" t="n"/>
      <c r="C24" s="14" t="n">
        <v>0</v>
      </c>
      <c r="D24" s="14" t="n">
        <v>0</v>
      </c>
      <c r="E24" s="14" t="n">
        <v>0</v>
      </c>
      <c r="F24" s="27">
        <f>C24+D24+E24</f>
        <v/>
      </c>
    </row>
    <row r="25" ht="20" customHeight="1">
      <c r="A25" s="9" t="inlineStr">
        <is>
          <t>Hébergement artistes (hôtel/logement)</t>
        </is>
      </c>
      <c r="B25" s="31" t="n"/>
      <c r="C25" s="14" t="n">
        <v>0</v>
      </c>
      <c r="D25" s="14" t="n">
        <v>0</v>
      </c>
      <c r="E25" s="14" t="n">
        <v>0</v>
      </c>
      <c r="F25" s="27">
        <f>C25+D25+E25</f>
        <v/>
      </c>
    </row>
    <row r="26" ht="20" customHeight="1">
      <c r="A26" s="9" t="inlineStr">
        <is>
          <t>Hébergement équipe</t>
        </is>
      </c>
      <c r="B26" s="31" t="n"/>
      <c r="C26" s="14" t="n">
        <v>0</v>
      </c>
      <c r="D26" s="14" t="n">
        <v>0</v>
      </c>
      <c r="E26" s="14" t="n">
        <v>0</v>
      </c>
      <c r="F26" s="27">
        <f>C26+D26+E26</f>
        <v/>
      </c>
    </row>
    <row r="27" ht="20" customHeight="1">
      <c r="A27" s="32" t="inlineStr">
        <is>
          <t>SOUS-TOTAL TRANSPORTS &amp; HÉBERGEMENT</t>
        </is>
      </c>
      <c r="F27" s="33">
        <f>SUM(F22:F26)</f>
        <v/>
      </c>
    </row>
    <row r="28" ht="22" customHeight="1">
      <c r="A28" s="30" t="inlineStr">
        <is>
          <t xml:space="preserve">  ▌ D. CATERING &amp; PERDIEM</t>
        </is>
      </c>
    </row>
    <row r="29" ht="20" customHeight="1">
      <c r="A29" s="9" t="inlineStr">
        <is>
          <t>Repas artistes</t>
        </is>
      </c>
      <c r="B29" s="31" t="n"/>
      <c r="C29" s="14" t="n">
        <v>0</v>
      </c>
      <c r="D29" s="14" t="n">
        <v>0</v>
      </c>
      <c r="E29" s="14" t="n">
        <v>0</v>
      </c>
      <c r="F29" s="27">
        <f>C29+D29+E29</f>
        <v/>
      </c>
    </row>
    <row r="30" ht="20" customHeight="1">
      <c r="A30" s="9" t="inlineStr">
        <is>
          <t>Repas équipe</t>
        </is>
      </c>
      <c r="B30" s="31" t="n"/>
      <c r="C30" s="14" t="n">
        <v>0</v>
      </c>
      <c r="D30" s="14" t="n">
        <v>0</v>
      </c>
      <c r="E30" s="14" t="n">
        <v>0</v>
      </c>
      <c r="F30" s="27">
        <f>C30+D30+E30</f>
        <v/>
      </c>
    </row>
    <row r="31" ht="20" customHeight="1">
      <c r="A31" s="9" t="inlineStr">
        <is>
          <t>Perdiem artistes internationaux</t>
        </is>
      </c>
      <c r="B31" s="31" t="n"/>
      <c r="C31" s="14" t="n">
        <v>0</v>
      </c>
      <c r="D31" s="14" t="n">
        <v>0</v>
      </c>
      <c r="E31" s="14" t="n">
        <v>0</v>
      </c>
      <c r="F31" s="27">
        <f>C31+D31+E31</f>
        <v/>
      </c>
    </row>
    <row r="32" ht="20" customHeight="1">
      <c r="A32" s="9" t="inlineStr">
        <is>
          <t>Catering bar / boissons artistes</t>
        </is>
      </c>
      <c r="B32" s="31" t="n"/>
      <c r="C32" s="14" t="n">
        <v>0</v>
      </c>
      <c r="D32" s="14" t="n">
        <v>0</v>
      </c>
      <c r="E32" s="14" t="n">
        <v>0</v>
      </c>
      <c r="F32" s="27">
        <f>C32+D32+E32</f>
        <v/>
      </c>
    </row>
    <row r="33" ht="20" customHeight="1">
      <c r="A33" s="32" t="inlineStr">
        <is>
          <t>SOUS-TOTAL CATERING &amp; PERDIEM</t>
        </is>
      </c>
      <c r="F33" s="33">
        <f>SUM(F29:F32)</f>
        <v/>
      </c>
    </row>
    <row r="34" ht="22" customHeight="1">
      <c r="A34" s="30" t="inlineStr">
        <is>
          <t xml:space="preserve">  ▌ E. COMMUNICATION</t>
        </is>
      </c>
    </row>
    <row r="35" ht="20" customHeight="1">
      <c r="A35" s="9" t="inlineStr">
        <is>
          <t>Photographe</t>
        </is>
      </c>
      <c r="B35" s="31" t="n"/>
      <c r="C35" s="14" t="n">
        <v>0</v>
      </c>
      <c r="D35" s="14" t="n">
        <v>0</v>
      </c>
      <c r="E35" s="14" t="n">
        <v>0</v>
      </c>
      <c r="F35" s="27">
        <f>C35+D35+E35</f>
        <v/>
      </c>
    </row>
    <row r="36" ht="20" customHeight="1">
      <c r="A36" s="9" t="inlineStr">
        <is>
          <t>Vidéaste (captation + montage)</t>
        </is>
      </c>
      <c r="B36" s="31" t="n"/>
      <c r="C36" s="14" t="n">
        <v>0</v>
      </c>
      <c r="D36" s="14" t="n">
        <v>0</v>
      </c>
      <c r="E36" s="14" t="n">
        <v>0</v>
      </c>
      <c r="F36" s="27">
        <f>C36+D36+E36</f>
        <v/>
      </c>
    </row>
    <row r="37" ht="20" customHeight="1">
      <c r="A37" s="9" t="inlineStr">
        <is>
          <t>Community manager</t>
        </is>
      </c>
      <c r="B37" s="31" t="n"/>
      <c r="C37" s="14" t="n">
        <v>0</v>
      </c>
      <c r="D37" s="14" t="n">
        <v>0</v>
      </c>
      <c r="E37" s="14" t="n">
        <v>0</v>
      </c>
      <c r="F37" s="27">
        <f>C37+D37+E37</f>
        <v/>
      </c>
    </row>
    <row r="38" ht="20" customHeight="1">
      <c r="A38" s="9" t="inlineStr">
        <is>
          <t>Graphiste / Identité visuelle</t>
        </is>
      </c>
      <c r="B38" s="31" t="n"/>
      <c r="C38" s="14" t="n">
        <v>0</v>
      </c>
      <c r="D38" s="14" t="n">
        <v>0</v>
      </c>
      <c r="E38" s="14" t="n">
        <v>0</v>
      </c>
      <c r="F38" s="27">
        <f>C38+D38+E38</f>
        <v/>
      </c>
    </row>
    <row r="39" ht="20" customHeight="1">
      <c r="A39" s="9" t="inlineStr">
        <is>
          <t>Impression (flyers, affiches, kakémonos)</t>
        </is>
      </c>
      <c r="B39" s="31" t="n"/>
      <c r="C39" s="14" t="n">
        <v>0</v>
      </c>
      <c r="D39" s="14" t="n">
        <v>0</v>
      </c>
      <c r="E39" s="14" t="n">
        <v>0</v>
      </c>
      <c r="F39" s="27">
        <f>C39+D39+E39</f>
        <v/>
      </c>
    </row>
    <row r="40" ht="20" customHeight="1">
      <c r="A40" s="9" t="inlineStr">
        <is>
          <t>Relations presse / RP</t>
        </is>
      </c>
      <c r="B40" s="31" t="n"/>
      <c r="C40" s="14" t="n">
        <v>0</v>
      </c>
      <c r="D40" s="14" t="n">
        <v>0</v>
      </c>
      <c r="E40" s="14" t="n">
        <v>0</v>
      </c>
      <c r="F40" s="27">
        <f>C40+D40+E40</f>
        <v/>
      </c>
    </row>
    <row r="41" ht="20" customHeight="1">
      <c r="A41" s="9" t="inlineStr">
        <is>
          <t>Publicité digitale (Meta, Google)</t>
        </is>
      </c>
      <c r="B41" s="31" t="n"/>
      <c r="C41" s="14" t="n">
        <v>0</v>
      </c>
      <c r="D41" s="14" t="n">
        <v>0</v>
      </c>
      <c r="E41" s="14" t="n">
        <v>0</v>
      </c>
      <c r="F41" s="27">
        <f>C41+D41+E41</f>
        <v/>
      </c>
    </row>
    <row r="42" ht="20" customHeight="1">
      <c r="A42" s="32" t="inlineStr">
        <is>
          <t>SOUS-TOTAL COMMUNICATION</t>
        </is>
      </c>
      <c r="F42" s="33">
        <f>SUM(F35:F41)</f>
        <v/>
      </c>
    </row>
    <row r="43" ht="22" customHeight="1">
      <c r="A43" s="30" t="inlineStr">
        <is>
          <t xml:space="preserve">  ▌ F. FRAIS FIXES &amp; ADMINISTRATION</t>
        </is>
      </c>
    </row>
    <row r="44" ht="20" customHeight="1">
      <c r="A44" s="9" t="inlineStr">
        <is>
          <t>Production déléguée (honoraires admin)</t>
        </is>
      </c>
      <c r="B44" s="31" t="n"/>
      <c r="C44" s="14" t="n">
        <v>0</v>
      </c>
      <c r="D44" s="14" t="n">
        <v>0</v>
      </c>
      <c r="E44" s="14" t="n">
        <v>0</v>
      </c>
      <c r="F44" s="27">
        <f>C44+D44+E44</f>
        <v/>
      </c>
    </row>
    <row r="45" ht="20" customHeight="1">
      <c r="A45" s="9" t="inlineStr">
        <is>
          <t>Direction artistique</t>
        </is>
      </c>
      <c r="B45" s="31" t="n"/>
      <c r="C45" s="14" t="n">
        <v>0</v>
      </c>
      <c r="D45" s="14" t="n">
        <v>0</v>
      </c>
      <c r="E45" s="14" t="n">
        <v>0</v>
      </c>
      <c r="F45" s="27">
        <f>C45+D45+E45</f>
        <v/>
      </c>
    </row>
    <row r="46" ht="20" customHeight="1">
      <c r="A46" s="9" t="inlineStr">
        <is>
          <t>Assurance spectacle</t>
        </is>
      </c>
      <c r="B46" s="31" t="n"/>
      <c r="C46" s="14" t="n">
        <v>0</v>
      </c>
      <c r="D46" s="14" t="n">
        <v>0</v>
      </c>
      <c r="E46" s="14" t="n">
        <v>0</v>
      </c>
      <c r="F46" s="27">
        <f>C46+D46+E46</f>
        <v/>
      </c>
    </row>
    <row r="47" ht="20" customHeight="1">
      <c r="A47" s="9" t="inlineStr">
        <is>
          <t>Droits SACEM / SACD / Adami / Spedidam</t>
        </is>
      </c>
      <c r="B47" s="31" t="n"/>
      <c r="C47" s="14" t="n">
        <v>0</v>
      </c>
      <c r="D47" s="14" t="n">
        <v>0</v>
      </c>
      <c r="E47" s="14" t="n">
        <v>0</v>
      </c>
      <c r="F47" s="27">
        <f>C47+D47+E47</f>
        <v/>
      </c>
    </row>
    <row r="48" ht="20" customHeight="1">
      <c r="A48" s="9" t="inlineStr">
        <is>
          <t>Services bancaires</t>
        </is>
      </c>
      <c r="B48" s="31" t="n"/>
      <c r="C48" s="14" t="n">
        <v>0</v>
      </c>
      <c r="D48" s="14" t="n">
        <v>0</v>
      </c>
      <c r="E48" s="14" t="n">
        <v>0</v>
      </c>
      <c r="F48" s="27">
        <f>C48+D48+E48</f>
        <v/>
      </c>
    </row>
    <row r="49" ht="20" customHeight="1">
      <c r="A49" s="9" t="inlineStr">
        <is>
          <t>Frais de billetterie (plateforme)</t>
        </is>
      </c>
      <c r="B49" s="31" t="n"/>
      <c r="C49" s="14" t="n">
        <v>0</v>
      </c>
      <c r="D49" s="14" t="n">
        <v>0</v>
      </c>
      <c r="E49" s="14" t="n">
        <v>0</v>
      </c>
      <c r="F49" s="27">
        <f>C49+D49+E49</f>
        <v/>
      </c>
    </row>
    <row r="50" ht="20" customHeight="1">
      <c r="A50" s="9" t="inlineStr">
        <is>
          <t>Location salle / Cession de lieu</t>
        </is>
      </c>
      <c r="B50" s="31" t="n"/>
      <c r="C50" s="14" t="n">
        <v>0</v>
      </c>
      <c r="D50" s="14" t="n">
        <v>0</v>
      </c>
      <c r="E50" s="14" t="n">
        <v>0</v>
      </c>
      <c r="F50" s="27">
        <f>C50+D50+E50</f>
        <v/>
      </c>
    </row>
    <row r="51" ht="20" customHeight="1">
      <c r="A51" s="9" t="inlineStr">
        <is>
          <t>Autres frais</t>
        </is>
      </c>
      <c r="B51" s="31" t="n"/>
      <c r="C51" s="14" t="n">
        <v>0</v>
      </c>
      <c r="D51" s="14" t="n">
        <v>0</v>
      </c>
      <c r="E51" s="14" t="n">
        <v>0</v>
      </c>
      <c r="F51" s="27">
        <f>C51+D51+E51</f>
        <v/>
      </c>
    </row>
    <row r="52" ht="20" customHeight="1">
      <c r="A52" s="32" t="inlineStr">
        <is>
          <t>SOUS-TOTAL FRAIS FIXES &amp; ADMINISTRATION</t>
        </is>
      </c>
      <c r="F52" s="33">
        <f>SUM(F44:F51)</f>
        <v/>
      </c>
    </row>
    <row r="53" ht="24" customHeight="1">
      <c r="A53" s="34" t="inlineStr">
        <is>
          <t>🔴 TOTAL GÉNÉRAL DES CHARGES</t>
        </is>
      </c>
      <c r="F53" s="25">
        <f>SUMIF(A3:A52,"SOUS-TOTAL*",F3:F52)</f>
        <v/>
      </c>
    </row>
  </sheetData>
  <mergeCells count="14">
    <mergeCell ref="A53:E53"/>
    <mergeCell ref="A12:E12"/>
    <mergeCell ref="A28:F28"/>
    <mergeCell ref="A20:E20"/>
    <mergeCell ref="A13:F13"/>
    <mergeCell ref="A52:E52"/>
    <mergeCell ref="A1:F1"/>
    <mergeCell ref="A42:E42"/>
    <mergeCell ref="A33:E33"/>
    <mergeCell ref="A34:F34"/>
    <mergeCell ref="A3:F3"/>
    <mergeCell ref="A21:F21"/>
    <mergeCell ref="A27:E27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16" customWidth="1" min="4" max="4"/>
    <col width="14" customWidth="1" min="5" max="5"/>
    <col width="22" customWidth="1" min="6" max="6"/>
  </cols>
  <sheetData>
    <row r="1" ht="28" customHeight="1">
      <c r="A1" s="28" t="inlineStr">
        <is>
          <t>FINANCEMENTS &amp; PARTENAIRES — Projections</t>
        </is>
      </c>
    </row>
    <row r="2" ht="18" customHeight="1">
      <c r="A2" s="29" t="inlineStr">
        <is>
          <t>Partenaire / Source</t>
        </is>
      </c>
      <c r="B2" s="29" t="inlineStr">
        <is>
          <t>Catégorie</t>
        </is>
      </c>
      <c r="C2" s="29" t="inlineStr">
        <is>
          <t>Montant prudent (€)</t>
        </is>
      </c>
      <c r="D2" s="29" t="inlineStr">
        <is>
          <t>Montant optimiste (€)</t>
        </is>
      </c>
      <c r="E2" s="29" t="inlineStr">
        <is>
          <t>Nature (cash/nature)</t>
        </is>
      </c>
      <c r="F2" s="29" t="inlineStr">
        <is>
          <t>Statut</t>
        </is>
      </c>
    </row>
    <row r="3" ht="22" customHeight="1">
      <c r="A3" s="30" t="inlineStr">
        <is>
          <t xml:space="preserve">  ▌ A. SUBVENTIONS PUBLIQUES &amp; INSTITUTIONNELLES</t>
        </is>
      </c>
    </row>
    <row r="4" ht="20" customHeight="1">
      <c r="A4" s="35" t="inlineStr">
        <is>
          <t>Mairie de Paris</t>
        </is>
      </c>
      <c r="B4" s="13" t="inlineStr">
        <is>
          <t>Subvention publique</t>
        </is>
      </c>
      <c r="C4" s="14" t="n">
        <v>0</v>
      </c>
      <c r="D4" s="14" t="n">
        <v>0</v>
      </c>
      <c r="E4" s="13" t="inlineStr">
        <is>
          <t>Cash</t>
        </is>
      </c>
      <c r="F4" s="36" t="inlineStr">
        <is>
          <t>🔴 À solliciter</t>
        </is>
      </c>
    </row>
    <row r="5" ht="20" customHeight="1">
      <c r="A5" s="35" t="inlineStr">
        <is>
          <t>DRAC Île-de-France / Région</t>
        </is>
      </c>
      <c r="B5" s="13" t="inlineStr">
        <is>
          <t>Subvention publique</t>
        </is>
      </c>
      <c r="C5" s="14" t="n">
        <v>0</v>
      </c>
      <c r="D5" s="14" t="n">
        <v>0</v>
      </c>
      <c r="E5" s="13" t="inlineStr">
        <is>
          <t>Cash</t>
        </is>
      </c>
      <c r="F5" s="36" t="inlineStr">
        <is>
          <t>🔴 À solliciter</t>
        </is>
      </c>
    </row>
    <row r="6" ht="20" customHeight="1">
      <c r="A6" s="35" t="inlineStr">
        <is>
          <t>Conseil Départemental</t>
        </is>
      </c>
      <c r="B6" s="13" t="inlineStr">
        <is>
          <t>Subvention publique</t>
        </is>
      </c>
      <c r="C6" s="14" t="n">
        <v>0</v>
      </c>
      <c r="D6" s="14" t="n">
        <v>0</v>
      </c>
      <c r="E6" s="13" t="inlineStr">
        <is>
          <t>Cash</t>
        </is>
      </c>
      <c r="F6" s="36" t="inlineStr">
        <is>
          <t>🔴 À solliciter</t>
        </is>
      </c>
    </row>
    <row r="7" ht="20" customHeight="1">
      <c r="A7" s="35" t="inlineStr">
        <is>
          <t>CNM (Centre National de la Musique)</t>
        </is>
      </c>
      <c r="B7" s="13" t="inlineStr">
        <is>
          <t>Subvention publique</t>
        </is>
      </c>
      <c r="C7" s="14" t="n">
        <v>0</v>
      </c>
      <c r="D7" s="14" t="n">
        <v>0</v>
      </c>
      <c r="E7" s="13" t="inlineStr">
        <is>
          <t>Cash</t>
        </is>
      </c>
      <c r="F7" s="36" t="inlineStr">
        <is>
          <t>🔴 À solliciter</t>
        </is>
      </c>
    </row>
    <row r="8" ht="20" customHeight="1">
      <c r="A8" s="35" t="inlineStr">
        <is>
          <t>SACD / Spedidam / Adami / SACEM</t>
        </is>
      </c>
      <c r="B8" s="13" t="inlineStr">
        <is>
          <t>Subvention publique</t>
        </is>
      </c>
      <c r="C8" s="14" t="n">
        <v>0</v>
      </c>
      <c r="D8" s="14" t="n">
        <v>0</v>
      </c>
      <c r="E8" s="13" t="inlineStr">
        <is>
          <t>Cash</t>
        </is>
      </c>
      <c r="F8" s="36" t="inlineStr">
        <is>
          <t>🔴 À solliciter</t>
        </is>
      </c>
    </row>
    <row r="9" ht="20" customHeight="1">
      <c r="A9" s="35" t="inlineStr">
        <is>
          <t>Institut Français</t>
        </is>
      </c>
      <c r="B9" s="13" t="inlineStr">
        <is>
          <t>Subvention publique</t>
        </is>
      </c>
      <c r="C9" s="14" t="n">
        <v>0</v>
      </c>
      <c r="D9" s="14" t="n">
        <v>0</v>
      </c>
      <c r="E9" s="13" t="inlineStr">
        <is>
          <t>Cash</t>
        </is>
      </c>
      <c r="F9" s="36" t="inlineStr">
        <is>
          <t>🔴 À solliciter</t>
        </is>
      </c>
    </row>
    <row r="10" ht="20" customHeight="1">
      <c r="A10" s="35" t="inlineStr">
        <is>
          <t>Autre institution</t>
        </is>
      </c>
      <c r="B10" s="13" t="inlineStr">
        <is>
          <t>Subvention publique</t>
        </is>
      </c>
      <c r="C10" s="14" t="n">
        <v>0</v>
      </c>
      <c r="D10" s="14" t="n">
        <v>0</v>
      </c>
      <c r="E10" s="13" t="inlineStr">
        <is>
          <t>Cash</t>
        </is>
      </c>
      <c r="F10" s="36" t="inlineStr">
        <is>
          <t>🔴 À solliciter</t>
        </is>
      </c>
    </row>
    <row r="11" ht="20" customHeight="1">
      <c r="A11" s="32" t="inlineStr">
        <is>
          <t>SOUS-TOTAL</t>
        </is>
      </c>
      <c r="C11" s="33">
        <f>SUM(C4:C10)</f>
        <v/>
      </c>
      <c r="D11" s="33">
        <f>SUM(D4:D10)</f>
        <v/>
      </c>
    </row>
    <row r="12" ht="22" customHeight="1">
      <c r="A12" s="30" t="inlineStr">
        <is>
          <t xml:space="preserve">  ▌ B. MÉCÉNAT PRIVÉ — FONDATIONS</t>
        </is>
      </c>
    </row>
    <row r="13" ht="20" customHeight="1">
      <c r="A13" s="35" t="inlineStr">
        <is>
          <t>Fondation de France</t>
        </is>
      </c>
      <c r="B13" s="7" t="n"/>
      <c r="C13" s="14" t="n">
        <v>0</v>
      </c>
      <c r="D13" s="14" t="n">
        <v>0</v>
      </c>
      <c r="E13" s="13" t="inlineStr">
        <is>
          <t>Cash</t>
        </is>
      </c>
      <c r="F13" s="36" t="inlineStr">
        <is>
          <t>🔴 À solliciter</t>
        </is>
      </c>
    </row>
    <row r="14" ht="20" customHeight="1">
      <c r="A14" s="35" t="inlineStr">
        <is>
          <t>Fondation d'entreprise (à préciser)</t>
        </is>
      </c>
      <c r="B14" s="7" t="n"/>
      <c r="C14" s="14" t="n">
        <v>0</v>
      </c>
      <c r="D14" s="14" t="n">
        <v>0</v>
      </c>
      <c r="E14" s="13" t="inlineStr">
        <is>
          <t>Cash</t>
        </is>
      </c>
      <c r="F14" s="36" t="inlineStr">
        <is>
          <t>🔴 À solliciter</t>
        </is>
      </c>
    </row>
    <row r="15" ht="20" customHeight="1">
      <c r="A15" s="35" t="inlineStr">
        <is>
          <t>Autre fondation</t>
        </is>
      </c>
      <c r="B15" s="7" t="n"/>
      <c r="C15" s="14" t="n">
        <v>0</v>
      </c>
      <c r="D15" s="14" t="n">
        <v>0</v>
      </c>
      <c r="E15" s="13" t="inlineStr">
        <is>
          <t>Cash</t>
        </is>
      </c>
      <c r="F15" s="36" t="inlineStr">
        <is>
          <t>🔴 À solliciter</t>
        </is>
      </c>
    </row>
    <row r="16" ht="20" customHeight="1">
      <c r="A16" s="32" t="inlineStr">
        <is>
          <t>SOUS-TOTAL</t>
        </is>
      </c>
      <c r="C16" s="33">
        <f>SUM(C13:C15)</f>
        <v/>
      </c>
      <c r="D16" s="33">
        <f>SUM(D13:D15)</f>
        <v/>
      </c>
    </row>
    <row r="17" ht="22" customHeight="1">
      <c r="A17" s="30" t="inlineStr">
        <is>
          <t xml:space="preserve">  ▌ C. SPONSORS PRIVÉS</t>
        </is>
      </c>
    </row>
    <row r="18" ht="20" customHeight="1">
      <c r="A18" s="35" t="inlineStr">
        <is>
          <t>Sponsor principal (à démarcher)</t>
        </is>
      </c>
      <c r="B18" s="7" t="n"/>
      <c r="C18" s="14" t="n">
        <v>0</v>
      </c>
      <c r="D18" s="14" t="n">
        <v>0</v>
      </c>
      <c r="E18" s="13" t="inlineStr">
        <is>
          <t>Cash</t>
        </is>
      </c>
      <c r="F18" s="36" t="inlineStr">
        <is>
          <t>🔴 À solliciter</t>
        </is>
      </c>
    </row>
    <row r="19" ht="20" customHeight="1">
      <c r="A19" s="35" t="inlineStr">
        <is>
          <t>Sponsor tech / matériel</t>
        </is>
      </c>
      <c r="B19" s="7" t="n"/>
      <c r="C19" s="14" t="n">
        <v>0</v>
      </c>
      <c r="D19" s="14" t="n">
        <v>0</v>
      </c>
      <c r="E19" s="13" t="inlineStr">
        <is>
          <t>Cash</t>
        </is>
      </c>
      <c r="F19" s="36" t="inlineStr">
        <is>
          <t>🔴 À solliciter</t>
        </is>
      </c>
    </row>
    <row r="20" ht="20" customHeight="1">
      <c r="A20" s="35" t="inlineStr">
        <is>
          <t>Sponsor boissons / catering</t>
        </is>
      </c>
      <c r="B20" s="7" t="n"/>
      <c r="C20" s="14" t="n">
        <v>0</v>
      </c>
      <c r="D20" s="14" t="n">
        <v>0</v>
      </c>
      <c r="E20" s="13" t="inlineStr">
        <is>
          <t>Cash</t>
        </is>
      </c>
      <c r="F20" s="36" t="inlineStr">
        <is>
          <t>🔴 À solliciter</t>
        </is>
      </c>
    </row>
    <row r="21" ht="20" customHeight="1">
      <c r="A21" s="35" t="inlineStr">
        <is>
          <t>Sponsor média / presse</t>
        </is>
      </c>
      <c r="B21" s="7" t="n"/>
      <c r="C21" s="14" t="n">
        <v>0</v>
      </c>
      <c r="D21" s="14" t="n">
        <v>0</v>
      </c>
      <c r="E21" s="13" t="inlineStr">
        <is>
          <t>Cash</t>
        </is>
      </c>
      <c r="F21" s="36" t="inlineStr">
        <is>
          <t>🔴 À solliciter</t>
        </is>
      </c>
    </row>
    <row r="22" ht="20" customHeight="1">
      <c r="A22" s="35" t="inlineStr">
        <is>
          <t>Autre sponsor</t>
        </is>
      </c>
      <c r="B22" s="7" t="n"/>
      <c r="C22" s="14" t="n">
        <v>0</v>
      </c>
      <c r="D22" s="14" t="n">
        <v>0</v>
      </c>
      <c r="E22" s="13" t="inlineStr">
        <is>
          <t>Cash</t>
        </is>
      </c>
      <c r="F22" s="36" t="inlineStr">
        <is>
          <t>🔴 À solliciter</t>
        </is>
      </c>
    </row>
    <row r="23" ht="20" customHeight="1">
      <c r="A23" s="32" t="inlineStr">
        <is>
          <t>SOUS-TOTAL</t>
        </is>
      </c>
      <c r="C23" s="33">
        <f>SUM(C18:C22)</f>
        <v/>
      </c>
      <c r="D23" s="33">
        <f>SUM(D18:D22)</f>
        <v/>
      </c>
    </row>
    <row r="24" ht="22" customHeight="1">
      <c r="A24" s="30" t="inlineStr">
        <is>
          <t xml:space="preserve">  ▌ D. COPRODUCTIONS &amp; PARTENARIATS LIEU</t>
        </is>
      </c>
    </row>
    <row r="25" ht="20" customHeight="1">
      <c r="A25" s="35" t="inlineStr">
        <is>
          <t>Lieu partenaire (apport en nature)</t>
        </is>
      </c>
      <c r="B25" s="7" t="n"/>
      <c r="C25" s="14" t="n">
        <v>0</v>
      </c>
      <c r="D25" s="14" t="n">
        <v>0</v>
      </c>
      <c r="E25" s="13" t="inlineStr">
        <is>
          <t>Cash</t>
        </is>
      </c>
      <c r="F25" s="36" t="inlineStr">
        <is>
          <t>🔴 À solliciter</t>
        </is>
      </c>
    </row>
    <row r="26" ht="20" customHeight="1">
      <c r="A26" s="35" t="inlineStr">
        <is>
          <t>Coproducteur (à préciser)</t>
        </is>
      </c>
      <c r="B26" s="7" t="n"/>
      <c r="C26" s="14" t="n">
        <v>0</v>
      </c>
      <c r="D26" s="14" t="n">
        <v>0</v>
      </c>
      <c r="E26" s="13" t="inlineStr">
        <is>
          <t>Cash</t>
        </is>
      </c>
      <c r="F26" s="36" t="inlineStr">
        <is>
          <t>🔴 À solliciter</t>
        </is>
      </c>
    </row>
    <row r="27" ht="20" customHeight="1">
      <c r="A27" s="35" t="inlineStr">
        <is>
          <t>Résidence de création</t>
        </is>
      </c>
      <c r="B27" s="7" t="n"/>
      <c r="C27" s="14" t="n">
        <v>0</v>
      </c>
      <c r="D27" s="14" t="n">
        <v>0</v>
      </c>
      <c r="E27" s="13" t="inlineStr">
        <is>
          <t>Cash</t>
        </is>
      </c>
      <c r="F27" s="36" t="inlineStr">
        <is>
          <t>🔴 À solliciter</t>
        </is>
      </c>
    </row>
    <row r="28" ht="20" customHeight="1">
      <c r="A28" s="32" t="inlineStr">
        <is>
          <t>SOUS-TOTAL</t>
        </is>
      </c>
      <c r="C28" s="33">
        <f>SUM(C25:C27)</f>
        <v/>
      </c>
      <c r="D28" s="33">
        <f>SUM(D25:D27)</f>
        <v/>
      </c>
    </row>
    <row r="29" ht="22" customHeight="1">
      <c r="A29" s="30" t="inlineStr">
        <is>
          <t xml:space="preserve">  ▌ E. AUTRES RECETTES</t>
        </is>
      </c>
    </row>
    <row r="30" ht="20" customHeight="1">
      <c r="A30" s="35" t="inlineStr">
        <is>
          <t>Billetterie (lien PARAMÈTRES)</t>
        </is>
      </c>
      <c r="B30" s="7" t="n"/>
      <c r="C30" s="14" t="n">
        <v>0</v>
      </c>
      <c r="D30" s="14" t="n">
        <v>0</v>
      </c>
      <c r="E30" s="13" t="inlineStr">
        <is>
          <t>Cash</t>
        </is>
      </c>
      <c r="F30" s="36" t="inlineStr">
        <is>
          <t>🔴 À solliciter</t>
        </is>
      </c>
    </row>
    <row r="31" ht="20" customHeight="1">
      <c r="A31" s="35" t="inlineStr">
        <is>
          <t>Merchandising</t>
        </is>
      </c>
      <c r="B31" s="7" t="n"/>
      <c r="C31" s="14" t="n">
        <v>0</v>
      </c>
      <c r="D31" s="14" t="n">
        <v>0</v>
      </c>
      <c r="E31" s="13" t="inlineStr">
        <is>
          <t>Cash</t>
        </is>
      </c>
      <c r="F31" s="36" t="inlineStr">
        <is>
          <t>🔴 À solliciter</t>
        </is>
      </c>
    </row>
    <row r="32" ht="20" customHeight="1">
      <c r="A32" s="35" t="inlineStr">
        <is>
          <t>Vente de droits / captation</t>
        </is>
      </c>
      <c r="B32" s="7" t="n"/>
      <c r="C32" s="14" t="n">
        <v>0</v>
      </c>
      <c r="D32" s="14" t="n">
        <v>0</v>
      </c>
      <c r="E32" s="13" t="inlineStr">
        <is>
          <t>Cash</t>
        </is>
      </c>
      <c r="F32" s="36" t="inlineStr">
        <is>
          <t>🔴 À solliciter</t>
        </is>
      </c>
    </row>
    <row r="33" ht="20" customHeight="1">
      <c r="A33" s="35" t="inlineStr">
        <is>
          <t>Autres</t>
        </is>
      </c>
      <c r="B33" s="7" t="n"/>
      <c r="C33" s="14" t="n">
        <v>0</v>
      </c>
      <c r="D33" s="14" t="n">
        <v>0</v>
      </c>
      <c r="E33" s="13" t="inlineStr">
        <is>
          <t>Cash</t>
        </is>
      </c>
      <c r="F33" s="36" t="inlineStr">
        <is>
          <t>🔴 À solliciter</t>
        </is>
      </c>
    </row>
    <row r="34" ht="20" customHeight="1">
      <c r="A34" s="32" t="inlineStr">
        <is>
          <t>SOUS-TOTAL</t>
        </is>
      </c>
      <c r="C34" s="33">
        <f>SUM(C30:C33)</f>
        <v/>
      </c>
      <c r="D34" s="33">
        <f>SUM(D30:D33)</f>
        <v/>
      </c>
    </row>
    <row r="35" ht="24" customHeight="1">
      <c r="A35" s="37" t="inlineStr">
        <is>
          <t>💰 TOTAL FINANCEMENTS PROJETÉS</t>
        </is>
      </c>
      <c r="C35" s="23">
        <f>SUMIF(A3:A34,"SOUS-TOTAL",C3:C34)</f>
        <v/>
      </c>
      <c r="D35" s="23">
        <f>SUMIF(A3:A34,"SOUS-TOTAL",D3:D34)</f>
        <v/>
      </c>
    </row>
  </sheetData>
  <mergeCells count="12">
    <mergeCell ref="A24:F24"/>
    <mergeCell ref="A16:B16"/>
    <mergeCell ref="A11:B11"/>
    <mergeCell ref="A1:F1"/>
    <mergeCell ref="A28:B28"/>
    <mergeCell ref="A17:F17"/>
    <mergeCell ref="A12:F12"/>
    <mergeCell ref="A23:B23"/>
    <mergeCell ref="A3:F3"/>
    <mergeCell ref="A29:F29"/>
    <mergeCell ref="A34:B34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2" customWidth="1" min="3" max="3"/>
    <col width="14" customWidth="1" min="4" max="4"/>
    <col width="22" customWidth="1" min="5" max="5"/>
  </cols>
  <sheetData>
    <row r="1" ht="28" customHeight="1">
      <c r="A1" s="38" t="inlineStr">
        <is>
          <t>GRILLE D'ANALYSE DE FAISABILITÉ — Complétée par Claude (Pause Kreyol)</t>
        </is>
      </c>
    </row>
    <row r="2" ht="16" customHeight="1">
      <c r="A2" s="39" t="inlineStr">
        <is>
          <t>⚠️ Cet onglet est rempli automatiquement après analyse Claude — ne pas modifier manuellement</t>
        </is>
      </c>
    </row>
    <row r="3" ht="18" customHeight="1">
      <c r="A3" s="29" t="inlineStr">
        <is>
          <t>Indicateur</t>
        </is>
      </c>
      <c r="B3" s="29" t="inlineStr">
        <is>
          <t>Valeur projet</t>
        </is>
      </c>
      <c r="C3" s="29" t="inlineStr">
        <is>
          <t>Norme / Seuil</t>
        </is>
      </c>
      <c r="D3" s="29" t="inlineStr">
        <is>
          <t>Statut</t>
        </is>
      </c>
      <c r="E3" s="29" t="inlineStr">
        <is>
          <t>Analyse Claude</t>
        </is>
      </c>
    </row>
    <row r="4" ht="22" customHeight="1">
      <c r="A4" s="40" t="inlineStr">
        <is>
          <t>Budget total du projet</t>
        </is>
      </c>
      <c r="B4" s="41" t="inlineStr">
        <is>
          <t>→ auto</t>
        </is>
      </c>
      <c r="C4" s="42" t="inlineStr">
        <is>
          <t>—</t>
        </is>
      </c>
      <c r="D4" s="43" t="inlineStr">
        <is>
          <t>❓</t>
        </is>
      </c>
      <c r="E4" s="44" t="inlineStr"/>
    </row>
    <row r="5" ht="22" customHeight="1">
      <c r="A5" s="40" t="inlineStr">
        <is>
          <t>Total subventions publiques</t>
        </is>
      </c>
      <c r="B5" s="41" t="inlineStr">
        <is>
          <t>→ à calculer</t>
        </is>
      </c>
      <c r="C5" s="42" t="inlineStr">
        <is>
          <t>&lt; 80% budget</t>
        </is>
      </c>
      <c r="D5" s="43" t="inlineStr">
        <is>
          <t>❓</t>
        </is>
      </c>
      <c r="E5" s="44" t="inlineStr"/>
    </row>
    <row r="6" ht="22" customHeight="1">
      <c r="A6" s="40" t="inlineStr">
        <is>
          <t>Subvention Mairie de Paris</t>
        </is>
      </c>
      <c r="B6" s="41" t="inlineStr">
        <is>
          <t>→ à saisir</t>
        </is>
      </c>
      <c r="C6" s="42" t="inlineStr">
        <is>
          <t>≤ 70% budget (AAP)</t>
        </is>
      </c>
      <c r="D6" s="43" t="inlineStr">
        <is>
          <t>❓</t>
        </is>
      </c>
      <c r="E6" s="44" t="inlineStr"/>
    </row>
    <row r="7" ht="22" customHeight="1">
      <c r="A7" s="40" t="inlineStr">
        <is>
          <t>Ratio sub. publiques / budget</t>
        </is>
      </c>
      <c r="B7" s="41" t="inlineStr">
        <is>
          <t>→ à calculer</t>
        </is>
      </c>
      <c r="C7" s="42" t="inlineStr">
        <is>
          <t>&lt; 80% (norm. nationale)</t>
        </is>
      </c>
      <c r="D7" s="43" t="inlineStr">
        <is>
          <t>❓</t>
        </is>
      </c>
      <c r="E7" s="44" t="inlineStr"/>
    </row>
    <row r="8" ht="22" customHeight="1">
      <c r="A8" s="40" t="inlineStr">
        <is>
          <t>Ratio Mairie / budget</t>
        </is>
      </c>
      <c r="B8" s="41" t="inlineStr">
        <is>
          <t>→ à calculer</t>
        </is>
      </c>
      <c r="C8" s="42" t="inlineStr">
        <is>
          <t>&lt; 70% (règle AAP Paris)</t>
        </is>
      </c>
      <c r="D8" s="43" t="inlineStr">
        <is>
          <t>❓</t>
        </is>
      </c>
      <c r="E8" s="44" t="inlineStr"/>
    </row>
    <row r="9" ht="22" customHeight="1">
      <c r="A9" s="40" t="inlineStr">
        <is>
          <t>Budget billetterie / charges</t>
        </is>
      </c>
      <c r="B9" s="41" t="inlineStr">
        <is>
          <t>→ à calculer</t>
        </is>
      </c>
      <c r="C9" s="42" t="inlineStr">
        <is>
          <t>Couvrir au moins 20%</t>
        </is>
      </c>
      <c r="D9" s="43" t="inlineStr">
        <is>
          <t>❓</t>
        </is>
      </c>
      <c r="E9" s="44" t="inlineStr"/>
    </row>
    <row r="10" ht="22" customHeight="1">
      <c r="A10" s="40" t="inlineStr">
        <is>
          <t>Apports en nature valorisés</t>
        </is>
      </c>
      <c r="B10" s="41" t="inlineStr">
        <is>
          <t>→ à saisir</t>
        </is>
      </c>
      <c r="C10" s="42" t="inlineStr">
        <is>
          <t>Renforce le dossier</t>
        </is>
      </c>
      <c r="D10" s="43" t="inlineStr">
        <is>
          <t>❓</t>
        </is>
      </c>
      <c r="E10" s="44" t="inlineStr"/>
    </row>
    <row r="11" ht="22" customHeight="1">
      <c r="A11" s="40" t="inlineStr">
        <is>
          <t>Licence entrepreneur du spectacle</t>
        </is>
      </c>
      <c r="B11" s="41" t="inlineStr">
        <is>
          <t>→ via fiche client</t>
        </is>
      </c>
      <c r="C11" s="42" t="inlineStr">
        <is>
          <t>Obligatoire si diffuseur</t>
        </is>
      </c>
      <c r="D11" s="43" t="inlineStr">
        <is>
          <t>❓</t>
        </is>
      </c>
      <c r="E11" s="44" t="inlineStr"/>
    </row>
    <row r="12" ht="22" customHeight="1">
      <c r="A12" s="40" t="inlineStr">
        <is>
          <t>Historique de la structure (ans)</t>
        </is>
      </c>
      <c r="B12" s="41" t="inlineStr">
        <is>
          <t>→ à renseigner</t>
        </is>
      </c>
      <c r="C12" s="42" t="inlineStr">
        <is>
          <t>≥ 3 ans = solide</t>
        </is>
      </c>
      <c r="D12" s="43" t="inlineStr">
        <is>
          <t>❓</t>
        </is>
      </c>
      <c r="E12" s="44" t="inlineStr"/>
    </row>
    <row r="13" ht="22" customHeight="1">
      <c r="A13" s="40" t="inlineStr">
        <is>
          <t>Partenaire lieu confirmé</t>
        </is>
      </c>
      <c r="B13" s="41" t="inlineStr">
        <is>
          <t>→ Oui / Non</t>
        </is>
      </c>
      <c r="C13" s="42" t="inlineStr">
        <is>
          <t>Renforce la crédibilité</t>
        </is>
      </c>
      <c r="D13" s="43" t="inlineStr">
        <is>
          <t>❓</t>
        </is>
      </c>
      <c r="E13" s="44" t="inlineStr"/>
    </row>
    <row r="14" ht="22" customHeight="1">
      <c r="A14" s="40" t="inlineStr">
        <is>
          <t>Dossier artistique complet</t>
        </is>
      </c>
      <c r="B14" s="41" t="inlineStr">
        <is>
          <t>→ Oui / Non / Partiel</t>
        </is>
      </c>
      <c r="C14" s="42" t="inlineStr">
        <is>
          <t>Obligatoire pour dépôt</t>
        </is>
      </c>
      <c r="D14" s="43" t="inlineStr">
        <is>
          <t>❓</t>
        </is>
      </c>
      <c r="E14" s="44" t="inlineStr"/>
    </row>
    <row r="15" ht="22" customHeight="1">
      <c r="A15" s="40" t="inlineStr">
        <is>
          <t>Charges sociales correctement provisionnées</t>
        </is>
      </c>
      <c r="B15" s="41" t="inlineStr">
        <is>
          <t>→ à vérifier</t>
        </is>
      </c>
      <c r="C15" s="42" t="inlineStr">
        <is>
          <t>GUSO 40% / DPAE 46%</t>
        </is>
      </c>
      <c r="D15" s="43" t="inlineStr">
        <is>
          <t>❓</t>
        </is>
      </c>
      <c r="E15" s="44" t="inlineStr"/>
    </row>
    <row r="16" ht="22" customHeight="1">
      <c r="A16" s="40" t="inlineStr">
        <is>
          <t>Budget équilibré (charges = recettes)</t>
        </is>
      </c>
      <c r="B16" s="41" t="inlineStr">
        <is>
          <t>→ auto</t>
        </is>
      </c>
      <c r="C16" s="42" t="inlineStr">
        <is>
          <t>Obligatoire</t>
        </is>
      </c>
      <c r="D16" s="43" t="inlineStr">
        <is>
          <t>❓</t>
        </is>
      </c>
      <c r="E16" s="44" t="inlineStr"/>
    </row>
    <row r="17" ht="22" customHeight="1">
      <c r="A17" s="40" t="inlineStr">
        <is>
          <t>Délai avant l'événement</t>
        </is>
      </c>
      <c r="B17" s="41" t="inlineStr">
        <is>
          <t>→ calculé</t>
        </is>
      </c>
      <c r="C17" s="42" t="inlineStr">
        <is>
          <t>≥ 6 mois recommandé</t>
        </is>
      </c>
      <c r="D17" s="43" t="inlineStr">
        <is>
          <t>❓</t>
        </is>
      </c>
      <c r="E17" s="44" t="inlineStr"/>
    </row>
    <row r="19" ht="36" customHeight="1">
      <c r="A19" s="28" t="inlineStr">
        <is>
          <t>VERDICT : ❓ En attente d'analyse Claude</t>
        </is>
      </c>
    </row>
    <row r="20" ht="60" customHeight="1">
      <c r="A20" s="45" t="inlineStr">
        <is>
          <t>RECOMMANDATIONS CLAUDE :
→ À compléter après analyse</t>
        </is>
      </c>
    </row>
  </sheetData>
  <mergeCells count="4">
    <mergeCell ref="A2:E2"/>
    <mergeCell ref="A1:E1"/>
    <mergeCell ref="A20:E20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2026-04-03T07:21:02Z</dcterms:created>
  <dcterms:modified xmlns:dcterms="http://purl.org/dc/terms/" xmlns:xsi="http://www.w3.org/2001/XMLSchema-instance" xsi:type="dcterms:W3CDTF">2026-04-03T07:21:03Z</dcterms:modified>
</cp:coreProperties>
</file>