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DENTITE" sheetId="2" state="visible" r:id="rId4"/>
    <sheet name="ORGANISMES" sheetId="3" state="visible" r:id="rId5"/>
    <sheet name="RH_SAS" sheetId="4" state="visible" r:id="rId6"/>
    <sheet name="FINANCES" sheetId="5" state="visible" r:id="rId7"/>
    <sheet name="COLLECTE_DO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<sst xmlns="http://schemas.openxmlformats.org/spreadsheetml/2006/main" count="569" uniqueCount="391">
  <si>
    <t xml:space="preserve">TABLEAU DE BORD — SAS SÉNÉGALAISE — Vue synthétique et alertes</t>
  </si>
  <si>
    <t xml:space="preserve">Fichier adapté pour une SAS régie par le droit OHADA (Acte Uniforme sociétés commerciales). Monnaie : FCFA. Organismes sociaux : IPRES + CSS.</t>
  </si>
  <si>
    <t xml:space="preserve">⚡ DIFFÉRENCES CLÉS vs ASSOCIATION LOI 1901 : Forme juridique SAS OHADA | Monnaie FCFA | Organismes IPRES/CSS | IS 30% | TVA 18% | SYSCOA/OHADA comptabilité</t>
  </si>
  <si>
    <t xml:space="preserve">Société :</t>
  </si>
  <si>
    <t xml:space="preserve">NINEA :</t>
  </si>
  <si>
    <t xml:space="preserve">N° RCCM :</t>
  </si>
  <si>
    <t xml:space="preserve">Représentant légal :</t>
  </si>
  <si>
    <t xml:space="preserve">ALERTES — Conformité administrative et organismes sociaux</t>
  </si>
  <si>
    <t xml:space="preserve">Organisme / Document</t>
  </si>
  <si>
    <t xml:space="preserve">N° adhérent / identifiant</t>
  </si>
  <si>
    <t xml:space="preserve">Date expiration / échéance</t>
  </si>
  <si>
    <t xml:space="preserve">Statut alerte</t>
  </si>
  <si>
    <t xml:space="preserve">Infos à jour ?</t>
  </si>
  <si>
    <t xml:space="preserve">Dernière vérif.</t>
  </si>
  <si>
    <t xml:space="preserve">Action requise</t>
  </si>
  <si>
    <t xml:space="preserve">Patente (contribution économique locale)</t>
  </si>
  <si>
    <t xml:space="preserve">Oui</t>
  </si>
  <si>
    <t xml:space="preserve">NINEA — validité et mise à jour</t>
  </si>
  <si>
    <t xml:space="preserve">IPRES — retraite de base (RG)</t>
  </si>
  <si>
    <t xml:space="preserve">IPRES — retraite complémentaire (RC)</t>
  </si>
  <si>
    <t xml:space="preserve">CSS — Caisse Sécurité Sociale</t>
  </si>
  <si>
    <t xml:space="preserve">IPM — Mutuelle maladie</t>
  </si>
  <si>
    <t xml:space="preserve">Inspection du Travail — Déclaration établissement</t>
  </si>
  <si>
    <t xml:space="preserve">RCCM — mise à jour registre commerce</t>
  </si>
  <si>
    <t xml:space="preserve">IS — Impôt sur les Sociétés (déclaration annuelle)</t>
  </si>
  <si>
    <t xml:space="preserve">TVA — déclaration mensuelle</t>
  </si>
  <si>
    <t xml:space="preserve">SYNTHÈSE MOYENS HUMAINS — N-1 / N / N+1 (en FCFA)</t>
  </si>
  <si>
    <t xml:space="preserve">Indicateur</t>
  </si>
  <si>
    <t xml:space="preserve">N-1 réalisé</t>
  </si>
  <si>
    <t xml:space="preserve">N en cours</t>
  </si>
  <si>
    <t xml:space="preserve">N+1 projeté</t>
  </si>
  <si>
    <t xml:space="preserve">Évol. N-1→N</t>
  </si>
  <si>
    <t xml:space="preserve">Évol. N→N+1</t>
  </si>
  <si>
    <t xml:space="preserve">Note</t>
  </si>
  <si>
    <t xml:space="preserve">ETP permanents</t>
  </si>
  <si>
    <t xml:space="preserve">Masse salariale brute (FCFA)</t>
  </si>
  <si>
    <t xml:space="preserve">Cotisations IPRES employeur (FCFA)</t>
  </si>
  <si>
    <t xml:space="preserve">Cotisations CSS employeur (FCFA)</t>
  </si>
  <si>
    <t xml:space="preserve">Coût total employeur (FCFA)</t>
  </si>
  <si>
    <t xml:space="preserve">SYNTHÈSE FISCALE — IS / TVA / Patente (spécificité SAS sénégalaise)</t>
  </si>
  <si>
    <t xml:space="preserve">Chiffre d'affaires HT (FCFA)</t>
  </si>
  <si>
    <t xml:space="preserve">Résultat avant IS (FCFA)</t>
  </si>
  <si>
    <t xml:space="preserve">IS dû (30% du résultat)</t>
  </si>
  <si>
    <t xml:space="preserve">IMF minimum si déficit (500k-5M FCFA)</t>
  </si>
  <si>
    <t xml:space="preserve">TVA collectée</t>
  </si>
  <si>
    <t xml:space="preserve">TVA déductible</t>
  </si>
  <si>
    <t xml:space="preserve">TVA nette à reverser</t>
  </si>
  <si>
    <t xml:space="preserve">IDENTITÉ SOCIÉTÉ — SAS DE DROIT OHADA (Sénégal)</t>
  </si>
  <si>
    <t xml:space="preserve">⚡ SAS = Société par Actions Simplifiée | Cadre juridique : Acte Uniforme OHADA sur les sociétés commerciales (révisé 2014)</t>
  </si>
  <si>
    <t xml:space="preserve">Champs verts = spécificités SAS sénégalaise | Bleu = à saisir | Noir = formule</t>
  </si>
  <si>
    <t xml:space="preserve">DOCUMENTS CONSTITUTIFS &amp; LICENCES</t>
  </si>
  <si>
    <t xml:space="preserve">INFORMATIONS GÉNÉRALES — SAS OHADA</t>
  </si>
  <si>
    <t xml:space="preserve">Document</t>
  </si>
  <si>
    <t xml:space="preserve">Numéro / statut</t>
  </si>
  <si>
    <t xml:space="preserve">Dénomination sociale</t>
  </si>
  <si>
    <t xml:space="preserve">Statuts SAS enregistrés (RCCM)</t>
  </si>
  <si>
    <t xml:space="preserve">Forme juridique</t>
  </si>
  <si>
    <t xml:space="preserve">SAS — Société par Actions Simplifiée (OHADA)</t>
  </si>
  <si>
    <t xml:space="preserve">Procès-verbal constitutif</t>
  </si>
  <si>
    <t xml:space="preserve">NINEA (Numéro d'identification national)</t>
  </si>
  <si>
    <t xml:space="preserve">Règlement intérieur (si applicable)</t>
  </si>
  <si>
    <t xml:space="preserve">Numéro RCCM (Registre Commerce et Crédit Mobilier)</t>
  </si>
  <si>
    <t xml:space="preserve">Déclaration d'établissement (Inspection Travail)</t>
  </si>
  <si>
    <t xml:space="preserve">Date d'immatriculation au RCCM</t>
  </si>
  <si>
    <t xml:space="preserve">Autorisation d'exercer (selon secteur)</t>
  </si>
  <si>
    <t xml:space="preserve">Capital social (FCFA)</t>
  </si>
  <si>
    <t xml:space="preserve">Agrément spécifique (musique, spectacle, audiovisuel)</t>
  </si>
  <si>
    <t xml:space="preserve">Siège social (adresse complète Dakar / ville)</t>
  </si>
  <si>
    <t xml:space="preserve">Agrément Code des Investissements (si applicable)</t>
  </si>
  <si>
    <t xml:space="preserve">Activité principale</t>
  </si>
  <si>
    <t xml:space="preserve">Code SYSCOA / activité</t>
  </si>
  <si>
    <t xml:space="preserve">DATES CLÉS À SURVEILLER</t>
  </si>
  <si>
    <t xml:space="preserve">Date de création</t>
  </si>
  <si>
    <t xml:space="preserve">Obligation</t>
  </si>
  <si>
    <t xml:space="preserve">Date échéance</t>
  </si>
  <si>
    <t xml:space="preserve">Durée de vie de la société (statuts)</t>
  </si>
  <si>
    <t xml:space="preserve">99 ans (par défaut)</t>
  </si>
  <si>
    <t xml:space="preserve">Patente annuelle (avant 31 mars)</t>
  </si>
  <si>
    <t xml:space="preserve">Déclaration IS annuelle (avant 30 avril)</t>
  </si>
  <si>
    <t xml:space="preserve">DIRECTION ET ACTIONNARIAT — SAS</t>
  </si>
  <si>
    <t xml:space="preserve">Déclaration TVA mensuelle</t>
  </si>
  <si>
    <t xml:space="preserve">Président de la SAS</t>
  </si>
  <si>
    <t xml:space="preserve">Déclaration IPRES annuelle (avant 31 mars)</t>
  </si>
  <si>
    <t xml:space="preserve">Directeur Général (si distinct du Président)</t>
  </si>
  <si>
    <t xml:space="preserve">Assemblée Générale annuelle</t>
  </si>
  <si>
    <t xml:space="preserve">Directeur Général Délégué</t>
  </si>
  <si>
    <t xml:space="preserve">Dépôt comptes annuels au RCCM</t>
  </si>
  <si>
    <t xml:space="preserve">Email de contact principal</t>
  </si>
  <si>
    <t xml:space="preserve">Renouvellement RCCM (si applicable)</t>
  </si>
  <si>
    <t xml:space="preserve">Téléphone principal</t>
  </si>
  <si>
    <t xml:space="preserve">Autorisation / agrément sectoriel</t>
  </si>
  <si>
    <t xml:space="preserve">Site internet</t>
  </si>
  <si>
    <t xml:space="preserve">STRUCTURE ACTIONNARIALE</t>
  </si>
  <si>
    <t xml:space="preserve">COMPTES BANCAIRES (UEMOA / FCFA)</t>
  </si>
  <si>
    <t xml:space="preserve">SAS OHADA : actions librement cessibles selon statuts. Mentionner si actionnariat étranger &gt; 10% (obligations déclaratives APIX).</t>
  </si>
  <si>
    <t xml:space="preserve">Banque</t>
  </si>
  <si>
    <t xml:space="preserve">IBAN / RIB local</t>
  </si>
  <si>
    <t xml:space="preserve">Actionnaire</t>
  </si>
  <si>
    <t xml:space="preserve">% détenu</t>
  </si>
  <si>
    <t xml:space="preserve">Compte principal opérations</t>
  </si>
  <si>
    <t xml:space="preserve">Compte épargne</t>
  </si>
  <si>
    <t xml:space="preserve">Autre</t>
  </si>
  <si>
    <t xml:space="preserve">ORGANISMES SOCIAUX &amp; FISCAUX — SAS SÉNÉGALAISE (cadre OHADA)</t>
  </si>
  <si>
    <t xml:space="preserve">Système sénégalais : IPRES (retraite) + CSS (sécurité sociale) + IPM (maladie) + DGI (impôts). ≠ système français (URSSAF/GUSO/Audiens/AFDAS).</t>
  </si>
  <si>
    <t xml:space="preserve">Chaque organisme = un bloc. Renseigner n° adhérent, date d'échéance, vérifier cohérence des informations déclarées.</t>
  </si>
  <si>
    <t xml:space="preserve">Organisme</t>
  </si>
  <si>
    <t xml:space="preserve">Compte ouvert ?</t>
  </si>
  <si>
    <t xml:space="preserve">Dernière vérification</t>
  </si>
  <si>
    <t xml:space="preserve">Alerte automatique</t>
  </si>
  <si>
    <t xml:space="preserve">Contact / interlocuteur</t>
  </si>
  <si>
    <t xml:space="preserve">PATENTE — Contribution économique locale (annuelle, avant 31 mars)</t>
  </si>
  <si>
    <t xml:space="preserve">Numéro de patente (délivré par la DGI)</t>
  </si>
  <si>
    <t xml:space="preserve">Droit fixe selon activité et CA</t>
  </si>
  <si>
    <t xml:space="preserve">Droit proportionnel sur valeur locative locaux</t>
  </si>
  <si>
    <t xml:space="preserve">NINEA — Numéro d'identification national (DGID / APIX)</t>
  </si>
  <si>
    <t xml:space="preserve">Numéro NINEA (identifiant unique entreprise)</t>
  </si>
  <si>
    <t xml:space="preserve">Mise à jour informations (adresse, dirigeant, activité)</t>
  </si>
  <si>
    <t xml:space="preserve">IPRES — Institut de Prévoyance Retraite du Sénégal</t>
  </si>
  <si>
    <t xml:space="preserve">N° adhérent IPRES (Régime Général — RG) — taux 14% (8,4% patronal + 5,6% salarial) plafond 432k FCFA/mois</t>
  </si>
  <si>
    <t xml:space="preserve">N° adhérent IPRES (Régime Complémentaire — RC cadres) — taux 6% plafond 1,296M FCFA/mois</t>
  </si>
  <si>
    <t xml:space="preserve">Déclaration annuelle des salaires (avant 31 mars)</t>
  </si>
  <si>
    <t xml:space="preserve">CSS — Caisse de Sécurité Sociale (accidents travail + prestations familiales)</t>
  </si>
  <si>
    <t xml:space="preserve">N° immatriculation CSS (obligatoire dans 2 mois après 1er salarié)</t>
  </si>
  <si>
    <t xml:space="preserve">Prestations familiales — taux 7% plafonné 63k FCFA/mois (100% patronal)</t>
  </si>
  <si>
    <t xml:space="preserve">Accidents du travail — taux 1%, 3% ou 5% selon secteur (100% patronal)</t>
  </si>
  <si>
    <t xml:space="preserve">Déclaration trimestrielle des effectifs et salaires</t>
  </si>
  <si>
    <t xml:space="preserve">IPM — Institution de Prévoyance Maladie (mutuelle santé)</t>
  </si>
  <si>
    <t xml:space="preserve">N° adhérent IPM (assurance maladie salarié + famille)</t>
  </si>
  <si>
    <t xml:space="preserve">Cotisation répartie employeur/salarié (taux variable selon IPM)</t>
  </si>
  <si>
    <t xml:space="preserve">Carte de soins des salariés à jour</t>
  </si>
  <si>
    <t xml:space="preserve">INSPECTION DU TRAVAIL — Déclaration d'établissement</t>
  </si>
  <si>
    <t xml:space="preserve">Déclaration d'établissement déposée à l'Inspection régionale du travail</t>
  </si>
  <si>
    <t xml:space="preserve">Registre de paie tenu et disponible</t>
  </si>
  <si>
    <t xml:space="preserve">Règlement intérieur affiché (obligatoire si &gt; 20 salariés)</t>
  </si>
  <si>
    <t xml:space="preserve">RCCM — Registre du Commerce et du Crédit Mobilier</t>
  </si>
  <si>
    <t xml:space="preserve">Numéro RCCM (à afficher sur tous documents commerciaux)</t>
  </si>
  <si>
    <t xml:space="preserve">Mise à jour en cas de modification statutaire (dirigeant, siège, capital)</t>
  </si>
  <si>
    <t xml:space="preserve">Dépôt comptes annuels au greffe (dans 30 jours après AG)</t>
  </si>
  <si>
    <t xml:space="preserve">DGI / DGID — Direction Générale des Impôts</t>
  </si>
  <si>
    <t xml:space="preserve">IS — Impôt sur les Sociétés 30% (déclaration avant 30 avril)</t>
  </si>
  <si>
    <t xml:space="preserve">IMF — Impôt Minimum Forfaitaire (si déficit : 500k à 5M FCFA selon CA)</t>
  </si>
  <si>
    <t xml:space="preserve">TVA — Taxe sur Valeur Ajoutée 18% (déclaration mensuelle, taux réduit 10% tourisme)</t>
  </si>
  <si>
    <t xml:space="preserve">TRIMF — retenue à la source sur salaires (barème progressif annuel)</t>
  </si>
  <si>
    <t xml:space="preserve">Retenue à source prestataires étrangers 20% (si pas d'installation au Sénégal)</t>
  </si>
  <si>
    <t xml:space="preserve">COHÉRENCE DES INFORMATIONS — Vérifier identité entre tous les organismes</t>
  </si>
  <si>
    <t xml:space="preserve">Les informations déclarées chez chaque organisme doivent être IDENTIQUES. Tout changement doit être déclaré dans les 30 jours.</t>
  </si>
  <si>
    <t xml:space="preserve">Information</t>
  </si>
  <si>
    <t xml:space="preserve">Valeur actuelle (IDENTITE!)</t>
  </si>
  <si>
    <t xml:space="preserve">Valeur enregistrée chez organismes</t>
  </si>
  <si>
    <t xml:space="preserve">Cohérent ?</t>
  </si>
  <si>
    <t xml:space="preserve">Date dernière MAJ</t>
  </si>
  <si>
    <t xml:space="preserve">Adresse siège social</t>
  </si>
  <si>
    <t xml:space="preserve">Représentant légal (Président)</t>
  </si>
  <si>
    <t xml:space="preserve">Activité / code APE-SYSCOA</t>
  </si>
  <si>
    <t xml:space="preserve">NINEA</t>
  </si>
  <si>
    <t xml:space="preserve">N° RCCM</t>
  </si>
  <si>
    <t xml:space="preserve">MOYENS HUMAINS — SAS SÉNÉGALAISE — N-1 / N / N+1</t>
  </si>
  <si>
    <t xml:space="preserve">Calcul des charges sociales selon le droit sénégalais : IPRES RG + IPRES RC (cadres) + CSS (prestations familiales + accidents travail)</t>
  </si>
  <si>
    <t xml:space="preserve">TAUX DE CHARGES SOCIALES SÉNÉGALAIS (modifiables si évolution réglementaire)</t>
  </si>
  <si>
    <t xml:space="preserve">Organisme / Cotisation</t>
  </si>
  <si>
    <t xml:space="preserve">Assiette plafond mensuel</t>
  </si>
  <si>
    <t xml:space="preserve">Taux total</t>
  </si>
  <si>
    <t xml:space="preserve">Part patronale</t>
  </si>
  <si>
    <t xml:space="preserve">Part salariale</t>
  </si>
  <si>
    <t xml:space="preserve">Qui est concerné</t>
  </si>
  <si>
    <t xml:space="preserve">IPRES RG — Retraite de base</t>
  </si>
  <si>
    <t xml:space="preserve">432 000 FCFA/mois</t>
  </si>
  <si>
    <t xml:space="preserve">Tous salariés</t>
  </si>
  <si>
    <t xml:space="preserve">IPRES paramètres 2025</t>
  </si>
  <si>
    <t xml:space="preserve">IPRES RC — Retraite compl. cadres</t>
  </si>
  <si>
    <t xml:space="preserve">1 296 000 FCFA/mois</t>
  </si>
  <si>
    <t xml:space="preserve">Cadres uniquement</t>
  </si>
  <si>
    <t xml:space="preserve">Régime complémentaire</t>
  </si>
  <si>
    <t xml:space="preserve">CSS — Prestations familiales</t>
  </si>
  <si>
    <t xml:space="preserve">63 000 FCFA/mois</t>
  </si>
  <si>
    <t xml:space="preserve">100% patronal</t>
  </si>
  <si>
    <t xml:space="preserve">CSS — Accidents du travail</t>
  </si>
  <si>
    <t xml:space="preserve">1%, 3% ou 5% selon secteur</t>
  </si>
  <si>
    <t xml:space="preserve">TRIMF — Impôt min. fiscal</t>
  </si>
  <si>
    <t xml:space="preserve">Salaire brut annuel</t>
  </si>
  <si>
    <t xml:space="preserve">Barème</t>
  </si>
  <si>
    <t xml:space="preserve">Retenue à la source progressive</t>
  </si>
  <si>
    <t xml:space="preserve">SALARIÉS PERMANENTS — CDI / CDD</t>
  </si>
  <si>
    <t xml:space="preserve">Poste / Fonction</t>
  </si>
  <si>
    <t xml:space="preserve">Statut / Type</t>
  </si>
  <si>
    <t xml:space="preserve">N-1 ETPT</t>
  </si>
  <si>
    <t xml:space="preserve">N ETPT</t>
  </si>
  <si>
    <t xml:space="preserve">N+1 ETPT</t>
  </si>
  <si>
    <t xml:space="preserve">Quotité N</t>
  </si>
  <si>
    <t xml:space="preserve">Cadre ?</t>
  </si>
  <si>
    <t xml:space="preserve">Président / Directeur Général</t>
  </si>
  <si>
    <t xml:space="preserve">CDI</t>
  </si>
  <si>
    <t xml:space="preserve">Non</t>
  </si>
  <si>
    <t xml:space="preserve">Directeur Artistique</t>
  </si>
  <si>
    <t xml:space="preserve">Administrateur de Production</t>
  </si>
  <si>
    <t xml:space="preserve">Chargé(e) de Production</t>
  </si>
  <si>
    <t xml:space="preserve">Chargé(e) de Communication</t>
  </si>
  <si>
    <t xml:space="preserve">Assistant(e) de Gestion</t>
  </si>
  <si>
    <t xml:space="preserve">Autre poste 1</t>
  </si>
  <si>
    <t xml:space="preserve">Autre poste 2</t>
  </si>
  <si>
    <t xml:space="preserve">SOUS-TOTAL ETPT PERMANENTS</t>
  </si>
  <si>
    <t xml:space="preserve">PRESTATAIRES &amp; INTERVENANTS (contexte sénégalais : pas d'intermittent GUSO)</t>
  </si>
  <si>
    <t xml:space="preserve">Au Sénégal : pas de régime intermittent du spectacle comme en France. Les artistes sont payés en cachets (CDD, contrat de prestation, ou contrat d'artiste du spectacle selon Code du Travail sénégalais).</t>
  </si>
  <si>
    <t xml:space="preserve">Nom / Artiste</t>
  </si>
  <si>
    <t xml:space="preserve">Type de contrat</t>
  </si>
  <si>
    <t xml:space="preserve">Nb jours</t>
  </si>
  <si>
    <t xml:space="preserve">Cachet/jr (FCFA)</t>
  </si>
  <si>
    <t xml:space="preserve">Brut total (FCFA)</t>
  </si>
  <si>
    <t xml:space="preserve">Charges IPRES+CSS</t>
  </si>
  <si>
    <t xml:space="preserve">Coût total (FCFA)</t>
  </si>
  <si>
    <t xml:space="preserve">Artiste intervenant (CDD)</t>
  </si>
  <si>
    <t xml:space="preserve">Prestataire (contrat prestation)</t>
  </si>
  <si>
    <t xml:space="preserve">Technicien (CDD)</t>
  </si>
  <si>
    <t xml:space="preserve">TOTAL PRESTATAIRES INTERVENANTS</t>
  </si>
  <si>
    <t xml:space="preserve">RÉCAPITULATIF MASSE SALARIALE — N-1 / N / N+1</t>
  </si>
  <si>
    <t xml:space="preserve">Poste</t>
  </si>
  <si>
    <t xml:space="preserve">N-1</t>
  </si>
  <si>
    <t xml:space="preserve">N</t>
  </si>
  <si>
    <t xml:space="preserve">N+1</t>
  </si>
  <si>
    <t xml:space="preserve">ETPT permanents</t>
  </si>
  <si>
    <t xml:space="preserve">Masse salariale brute permanents (FCFA)</t>
  </si>
  <si>
    <t xml:space="preserve">IPRES patronal permanents (~12% plafonné)</t>
  </si>
  <si>
    <t xml:space="preserve">CSS patronal permanents (~10%)</t>
  </si>
  <si>
    <t xml:space="preserve">Coût total employeur permanents</t>
  </si>
  <si>
    <t xml:space="preserve">Coût total intervenants</t>
  </si>
  <si>
    <t xml:space="preserve">COÛT TOTAL EMPLOYEUR GLOBAL (FCFA)</t>
  </si>
  <si>
    <t xml:space="preserve">COMPTE DE RÉSULTAT PRÉVISIONNEL — SAS SÉNÉGALAISE (plan SYSCOA/OHADA)</t>
  </si>
  <si>
    <t xml:space="preserve">Monnaie : FCFA | Plan comptable SYSCOA (Système Comptable OHADA) | ≠ Plan comptable général français</t>
  </si>
  <si>
    <t xml:space="preserve">N-1 = bilan certifié | N = prévisionnel en cours | N+1 = projection | Dépôt comptes annuels obligatoire au RCCM dans 30j après AG</t>
  </si>
  <si>
    <t xml:space="preserve">PRODUITS (SYSCOA)</t>
  </si>
  <si>
    <t xml:space="preserve">N prévisionnel</t>
  </si>
  <si>
    <t xml:space="preserve">N+1 projection</t>
  </si>
  <si>
    <t xml:space="preserve">70 — Ventes de marchandises</t>
  </si>
  <si>
    <t xml:space="preserve">  701 Ventes marchandises</t>
  </si>
  <si>
    <t xml:space="preserve">71 — Ventes de services (prestations culturelles)</t>
  </si>
  <si>
    <t xml:space="preserve">  706 Prestations de services / cachets artistiques</t>
  </si>
  <si>
    <t xml:space="preserve">  708 Autres produits d'activités</t>
  </si>
  <si>
    <t xml:space="preserve">74 — Subventions d'exploitation</t>
  </si>
  <si>
    <t xml:space="preserve">  741 Subventions d'exploitation État sénégalais</t>
  </si>
  <si>
    <t xml:space="preserve">  742 Subventions collectivités territoriales</t>
  </si>
  <si>
    <t xml:space="preserve">  743 Subventions organismes internationaux / AFD</t>
  </si>
  <si>
    <t xml:space="preserve">  748 Autres subventions</t>
  </si>
  <si>
    <t xml:space="preserve">75 — Autres produits</t>
  </si>
  <si>
    <t xml:space="preserve">  754 Dons et mécénat</t>
  </si>
  <si>
    <t xml:space="preserve">  758 Produits divers</t>
  </si>
  <si>
    <t xml:space="preserve">77 — Produits financiers et divers</t>
  </si>
  <si>
    <t xml:space="preserve">  771 Intérêts et produits assimilés</t>
  </si>
  <si>
    <t xml:space="preserve">TOTAL PRODUITS HT</t>
  </si>
  <si>
    <t xml:space="preserve">CHARGES (SYSCOA)</t>
  </si>
  <si>
    <t xml:space="preserve">60 — Achats de marchandises et mat.</t>
  </si>
  <si>
    <t xml:space="preserve">  601/606 Achats matières et fournitures</t>
  </si>
  <si>
    <t xml:space="preserve">61-62 — Services extérieurs</t>
  </si>
  <si>
    <t xml:space="preserve">  613 Locations</t>
  </si>
  <si>
    <t xml:space="preserve">  615 Entretien et réparations</t>
  </si>
  <si>
    <t xml:space="preserve">  616 Assurances</t>
  </si>
  <si>
    <t xml:space="preserve">  622 Honoraires</t>
  </si>
  <si>
    <t xml:space="preserve">  623 Communication</t>
  </si>
  <si>
    <t xml:space="preserve">  625 Déplacements et transports</t>
  </si>
  <si>
    <t xml:space="preserve">  628 Autres services</t>
  </si>
  <si>
    <t xml:space="preserve">64 — Charges de personnel</t>
  </si>
  <si>
    <t xml:space="preserve">  641 Salaires et rémunérations bruts</t>
  </si>
  <si>
    <t xml:space="preserve">  645 Cotisations IPRES (patronal)</t>
  </si>
  <si>
    <t xml:space="preserve">  646 Cotisations CSS (patronal)</t>
  </si>
  <si>
    <t xml:space="preserve">  647 TRIMF et autres retenues fiscales</t>
  </si>
  <si>
    <t xml:space="preserve">65 — Autres charges d'exploitation</t>
  </si>
  <si>
    <t xml:space="preserve">  651 Redevances, brevets, licences</t>
  </si>
  <si>
    <t xml:space="preserve">  658 Charges diverses de gestion</t>
  </si>
  <si>
    <t xml:space="preserve">66 — Charges financières</t>
  </si>
  <si>
    <t xml:space="preserve">  661 Frais bancaires et intérêts</t>
  </si>
  <si>
    <t xml:space="preserve">67 — Charges exceptionnelles</t>
  </si>
  <si>
    <t xml:space="preserve">  671 Charges exceptionnelles</t>
  </si>
  <si>
    <t xml:space="preserve">68 — Dotations amortissements</t>
  </si>
  <si>
    <t xml:space="preserve">  681 Amortissements immobilisations</t>
  </si>
  <si>
    <t xml:space="preserve">TOTAL CHARGES HT</t>
  </si>
  <si>
    <t xml:space="preserve">RÉSULTAT ET FISCALITÉ — IS 30% / IMF (spécificité SAS sénégalaise)</t>
  </si>
  <si>
    <t xml:space="preserve">RÉSULTAT AVANT IS</t>
  </si>
  <si>
    <t xml:space="preserve">IS — Impôt sur les Sociétés (30% du résultat si bénéfice)</t>
  </si>
  <si>
    <t xml:space="preserve">IMF — Impôt Min. Forfaitaire si déficit (500k-5M FCFA selon CA)</t>
  </si>
  <si>
    <t xml:space="preserve">RÉSULTAT NET APRÈS IS</t>
  </si>
  <si>
    <t xml:space="preserve">TVA SÉNÉGALAISE — Taux normal 18% / Taux réduit 10%</t>
  </si>
  <si>
    <t xml:space="preserve">Déclaration mensuelle obligatoire. Taux normal 18% (majorité prestations). Taux réduit 10% (tourisme, hôtellerie). Exportations 0%. Exonérations : santé, éducation, banque.</t>
  </si>
  <si>
    <t xml:space="preserve">TVA collectée sur ventes (18% / 10% selon prestation)</t>
  </si>
  <si>
    <t xml:space="preserve">TVA déductible sur achats</t>
  </si>
  <si>
    <t xml:space="preserve">TVA nette à reverser (ou crédit de TVA)</t>
  </si>
  <si>
    <t xml:space="preserve">MODÈLE DE COLLECTE DOCUMENTS — SAS SÉNÉGALAISE (cadre OHADA)</t>
  </si>
  <si>
    <t xml:space="preserve">Documents à demander au client avant RDV et avant signature de contrat de prestation</t>
  </si>
  <si>
    <t xml:space="preserve">Document / Information</t>
  </si>
  <si>
    <t xml:space="preserve">Priorité</t>
  </si>
  <si>
    <t xml:space="preserve">Format attendu</t>
  </si>
  <si>
    <t xml:space="preserve">Reçu ?</t>
  </si>
  <si>
    <t xml:space="preserve">Date réception</t>
  </si>
  <si>
    <t xml:space="preserve">Pourquoi nécessaire</t>
  </si>
  <si>
    <t xml:space="preserve">PIÈCES CONSTITUTIVES &amp; JURIDIQUES OHADA</t>
  </si>
  <si>
    <t xml:space="preserve">Statuts de la SAS enregistrés au RCCM</t>
  </si>
  <si>
    <t xml:space="preserve">Obligatoire</t>
  </si>
  <si>
    <t xml:space="preserve">PDF</t>
  </si>
  <si>
    <t xml:space="preserve">Existence juridique OHADA</t>
  </si>
  <si>
    <t xml:space="preserve">Extrait RCCM récent (moins de 3 mois)</t>
  </si>
  <si>
    <t xml:space="preserve">Identité commerciale</t>
  </si>
  <si>
    <t xml:space="preserve">NINEA (avis d'immatriculation DGID)</t>
  </si>
  <si>
    <t xml:space="preserve">Identifiant fiscal</t>
  </si>
  <si>
    <t xml:space="preserve">Procès-verbal constitutif / AG constitutive</t>
  </si>
  <si>
    <t xml:space="preserve">Gouvernance SAS</t>
  </si>
  <si>
    <t xml:space="preserve">Liste des dirigeants (Président, DG si applicable)</t>
  </si>
  <si>
    <t xml:space="preserve">Représentation légale</t>
  </si>
  <si>
    <t xml:space="preserve">Obligatoire si salariés</t>
  </si>
  <si>
    <t xml:space="preserve">Obligation légale employeur</t>
  </si>
  <si>
    <t xml:space="preserve">PIÈCES FISCALES</t>
  </si>
  <si>
    <t xml:space="preserve">Attestation de régularité fiscale (DGI)</t>
  </si>
  <si>
    <t xml:space="preserve">Conformité IS / TVA</t>
  </si>
  <si>
    <t xml:space="preserve">Dernière déclaration IS signée</t>
  </si>
  <si>
    <t xml:space="preserve">Si disponible</t>
  </si>
  <si>
    <t xml:space="preserve">Situation fiscale</t>
  </si>
  <si>
    <t xml:space="preserve">Attestation NINEA à jour</t>
  </si>
  <si>
    <t xml:space="preserve">Vérification activité déclarée</t>
  </si>
  <si>
    <t xml:space="preserve">Agrément sectoriel (musique, spectacle, audiovisuel si requis)</t>
  </si>
  <si>
    <t xml:space="preserve">Si applicable</t>
  </si>
  <si>
    <t xml:space="preserve">Autorisation d'exercer</t>
  </si>
  <si>
    <t xml:space="preserve">PIÈCES COMPTABLES &amp; FINANCIÈRES (plan SYSCOA)</t>
  </si>
  <si>
    <t xml:space="preserve">Bilan SYSCOA N-1 certifié</t>
  </si>
  <si>
    <t xml:space="preserve">PDF/Excel</t>
  </si>
  <si>
    <t xml:space="preserve">Faisabilité financière</t>
  </si>
  <si>
    <t xml:space="preserve">Compte de résultat N-1</t>
  </si>
  <si>
    <t xml:space="preserve">Bilan N-2 si disponible</t>
  </si>
  <si>
    <t xml:space="preserve">Recommandé</t>
  </si>
  <si>
    <t xml:space="preserve">Historique financier</t>
  </si>
  <si>
    <t xml:space="preserve">Budget prévisionnel N (plan SYSCOA)</t>
  </si>
  <si>
    <t xml:space="preserve">Excel</t>
  </si>
  <si>
    <t xml:space="preserve">Dossier de financement</t>
  </si>
  <si>
    <t xml:space="preserve">Situation trésorerie récente (solde bancaire FCFA)</t>
  </si>
  <si>
    <t xml:space="preserve">Capacité préfinancement</t>
  </si>
  <si>
    <t xml:space="preserve">PIÈCES SOCIALES — IPRES / CSS</t>
  </si>
  <si>
    <t xml:space="preserve">Attestation de régularité IPRES</t>
  </si>
  <si>
    <t xml:space="preserve">Conformité retraite</t>
  </si>
  <si>
    <t xml:space="preserve">Attestation de régularité CSS</t>
  </si>
  <si>
    <t xml:space="preserve">Conformité sécu sociale</t>
  </si>
  <si>
    <t xml:space="preserve">N° adhérent IPRES + N° adhérent CSS</t>
  </si>
  <si>
    <t xml:space="preserve">Identifiants</t>
  </si>
  <si>
    <t xml:space="preserve">Vérification affiliation</t>
  </si>
  <si>
    <t xml:space="preserve">Contrat IPM (mutuelle maladie)</t>
  </si>
  <si>
    <t xml:space="preserve">Si salariés</t>
  </si>
  <si>
    <t xml:space="preserve">Obligation employeur</t>
  </si>
  <si>
    <t xml:space="preserve">Registre de paie (à disposition)</t>
  </si>
  <si>
    <t xml:space="preserve">Obligatoire légalement</t>
  </si>
  <si>
    <t xml:space="preserve">Registre</t>
  </si>
  <si>
    <t xml:space="preserve">Obligation droit travail sénégalais</t>
  </si>
  <si>
    <t xml:space="preserve">PIÈCES PROJET (en plus des pièces société)</t>
  </si>
  <si>
    <t xml:space="preserve">Note artistique et descriptif du projet</t>
  </si>
  <si>
    <t xml:space="preserve">Dossier artistique</t>
  </si>
  <si>
    <t xml:space="preserve">Programmation prévisionnelle</t>
  </si>
  <si>
    <t xml:space="preserve">Financement</t>
  </si>
  <si>
    <t xml:space="preserve">Liste des artistes / intervenants avec cachets</t>
  </si>
  <si>
    <t xml:space="preserve">Budget RH</t>
  </si>
  <si>
    <t xml:space="preserve">Lettre d'engagement ou contrat lieu de diffusion</t>
  </si>
  <si>
    <t xml:space="preserve">Dossier financement</t>
  </si>
  <si>
    <t xml:space="preserve">Demandes de financement en cours (ACC, FONAC, bailleurs)</t>
  </si>
  <si>
    <t xml:space="preserve">Si disponibles</t>
  </si>
  <si>
    <t xml:space="preserve">Plan financement</t>
  </si>
  <si>
    <t xml:space="preserve">Contrats artistes signés (contrats d'artiste du spectacle)</t>
  </si>
  <si>
    <t xml:space="preserve">Conformité salariale</t>
  </si>
  <si>
    <t xml:space="preserve">SPÉCIFICITÉS FINANCEMENT SÉNÉGALAIS / AFRICAIN</t>
  </si>
  <si>
    <t xml:space="preserve">FONAC — Fonds National pour la Culture (si demandé)</t>
  </si>
  <si>
    <t xml:space="preserve">Financement culturel sénégalais</t>
  </si>
  <si>
    <t xml:space="preserve">ADPME / APIX — Dossier investissement (si applicable)</t>
  </si>
  <si>
    <t xml:space="preserve">Agences publiques sénégalaises</t>
  </si>
  <si>
    <t xml:space="preserve">Financement diaspora ou partenaires internationaux</t>
  </si>
  <si>
    <t xml:space="preserve">Justificatifs</t>
  </si>
  <si>
    <t xml:space="preserve">Axe international</t>
  </si>
  <si>
    <t xml:space="preserve">Convention UEMOA (si activités régionales)</t>
  </si>
  <si>
    <t xml:space="preserve">Zone CEDEAO / UEMOA</t>
  </si>
  <si>
    <t xml:space="preserve">Accord de coproduction internationale (France, UK, etc.)</t>
  </si>
  <si>
    <t xml:space="preserve">Partenariats internationaux</t>
  </si>
  <si>
    <t xml:space="preserve">NOTE — DIFFÉRENCES MAJEURES AVEC LE MODÈLE ASSOCIATION LOI 1901</t>
  </si>
  <si>
    <t xml:space="preserve">Point de différence</t>
  </si>
  <si>
    <t xml:space="preserve">Modèle asso loi 1901 → SAS sénégalaise</t>
  </si>
  <si>
    <t xml:space="preserve">Loi 1901 → SAS OHADA. Pas de notions d'association, de bureau, d'AG annuelle loi 1901.</t>
  </si>
  <si>
    <t xml:space="preserve">Monnaie</t>
  </si>
  <si>
    <t xml:space="preserve">Euro → FCFA (Franc CFA UEMOA). Taux de change à surveiller pour les projets Franco-Sénégalais.</t>
  </si>
  <si>
    <t xml:space="preserve">Organismes sociaux</t>
  </si>
  <si>
    <t xml:space="preserve">URSSAF/GUSO/Audiens/AFDAS/CS → IPRES + CSS + IPM. Pas de régime intermittent du spectacle au Sénégal.</t>
  </si>
  <si>
    <t xml:space="preserve">Charges patronales</t>
  </si>
  <si>
    <t xml:space="preserve">~45% France → IPRES 8,4% + CSS 10% + IPM variable = ~20-22% patronal total (moins élevé qu'en France).</t>
  </si>
  <si>
    <t xml:space="preserve">Fiscalité</t>
  </si>
  <si>
    <t xml:space="preserve">Pas d'IS en France pour asso loi 1901 → IS 30% au Sénégal (ou IMF si déficit). TVA 18% (vs 20% France).</t>
  </si>
  <si>
    <t xml:space="preserve">Plan comptable</t>
  </si>
  <si>
    <t xml:space="preserve">PCG français → SYSCOA (Système Comptable OHADA). Numérotation des comptes différente.</t>
  </si>
  <si>
    <t xml:space="preserve">Artistes / intervenants</t>
  </si>
  <si>
    <t xml:space="preserve">Intermittents GUSO → Contrats d'artiste du spectacle, CDD, ou contrats de prestation selon droit travail sénégalais.</t>
  </si>
  <si>
    <t xml:space="preserve">Financement culturel</t>
  </si>
  <si>
    <t xml:space="preserve">DRAC/CNM/Région → FONAC, ADPME, APIX, bailleurs de fonds internationaux (AFD, Francophonie...).</t>
  </si>
  <si>
    <t xml:space="preserve">SIRET/RNA → NINEA + RCCM (tous deux obligatoires sur documents commerciaux).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</si>
</sst>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dd/mm/yyyy"/>
    <numFmt numFmtId="167" formatCode="#,##0&quot; FCFA&quot;"/>
    <numFmt numFmtId="168" formatCode="\+0.0%;\-0.0%;\-"/>
    <numFmt numFmtId="169" formatCode="0.0%"/>
    <numFmt numFmtId="170" formatCode="0.000"/>
    <numFmt numFmtId="171" formatCode="0%"/>
    <numFmt numFmtId="172" formatCode="#,##0&quot; FCFA&quot;;\(#,##0&quot; FCFA)&quot;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8887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1E6B2E"/>
      <name val="Arial"/>
      <family val="0"/>
      <charset val="1"/>
    </font>
    <font>
      <b val="true"/>
      <sz val="9"/>
      <color rgb="FF1E6B2E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E6A817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9"/>
      <color rgb="FF4A2C82"/>
      <name val="Arial"/>
      <family val="0"/>
      <charset val="1"/>
    </font>
    <font>
      <b val="true"/>
      <sz val="9"/>
      <color rgb="FFA32D2D"/>
      <name val="Arial"/>
      <family val="0"/>
      <charset val="1"/>
    </font>
    <font>
      <i val="true"/>
      <sz val="8"/>
      <color rgb="FF00000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9"/>
      <color rgb="FF1E6B2E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A32D2D"/>
      <name val="Arial"/>
      <family val="0"/>
      <charset val="1"/>
    </font>
    <font>
      <b val="true"/>
      <sz val="8"/>
      <color rgb="FFA32D2D"/>
      <name val="Arial"/>
      <family val="0"/>
      <charset val="1"/>
    </font>
    <font>
      <sz val="8"/>
      <color rgb="FF888780"/>
      <name val="Arial"/>
      <family val="0"/>
      <charset val="1"/>
    </font>
    <font>
      <b val="true"/>
      <sz val="8"/>
      <color rgb="FF888780"/>
      <name val="Arial"/>
      <family val="0"/>
      <charset val="1"/>
    </font>
    <font>
      <b val="true"/>
      <sz val="8"/>
      <color rgb="FFC45E00"/>
      <name val="Arial"/>
      <family val="0"/>
      <charset val="1"/>
    </font>
    <font>
      <sz val="8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4A2C82"/>
        <bgColor rgb="FF444441"/>
      </patternFill>
    </fill>
    <fill>
      <patternFill patternType="solid">
        <fgColor rgb="FF1E6B2E"/>
        <bgColor rgb="FF0F6E56"/>
      </patternFill>
    </fill>
    <fill>
      <patternFill patternType="solid">
        <fgColor rgb="FFF1EFE8"/>
        <bgColor rgb="FFEAF3DE"/>
      </patternFill>
    </fill>
    <fill>
      <patternFill patternType="solid">
        <fgColor rgb="FFA32D2D"/>
        <bgColor rgb="FF993366"/>
      </patternFill>
    </fill>
    <fill>
      <patternFill patternType="solid">
        <fgColor rgb="FF444441"/>
        <bgColor rgb="FF333300"/>
      </patternFill>
    </fill>
    <fill>
      <patternFill patternType="solid">
        <fgColor rgb="FFEAF3DE"/>
        <bgColor rgb="FFE8F5E9"/>
      </patternFill>
    </fill>
    <fill>
      <patternFill patternType="solid">
        <fgColor rgb="FFFFFEF0"/>
        <bgColor rgb="FFFFFFFF"/>
      </patternFill>
    </fill>
    <fill>
      <patternFill patternType="solid">
        <fgColor rgb="FF0F6E56"/>
        <bgColor rgb="FF1E6B2E"/>
      </patternFill>
    </fill>
    <fill>
      <patternFill patternType="solid">
        <fgColor rgb="FFE8F5E9"/>
        <bgColor rgb="FFEAF3DE"/>
      </patternFill>
    </fill>
    <fill>
      <patternFill patternType="solid">
        <fgColor rgb="FF185FA5"/>
        <bgColor rgb="FF0F6E56"/>
      </patternFill>
    </fill>
    <fill>
      <patternFill patternType="solid">
        <fgColor rgb="FFE1F5EE"/>
        <bgColor rgb="FFE8F5E9"/>
      </patternFill>
    </fill>
    <fill>
      <patternFill patternType="solid">
        <fgColor rgb="FFE6F1FB"/>
        <bgColor rgb="FFE1F5EE"/>
      </patternFill>
    </fill>
    <fill>
      <patternFill patternType="solid">
        <fgColor rgb="FFFFF8E1"/>
        <bgColor rgb="FFFFFEF0"/>
      </patternFill>
    </fill>
    <fill>
      <patternFill patternType="solid">
        <fgColor rgb="FFEDE9F6"/>
        <bgColor rgb="FFF1EFE8"/>
      </patternFill>
    </fill>
    <fill>
      <patternFill patternType="solid">
        <fgColor rgb="FFFCEBEB"/>
        <bgColor rgb="FFF1EFE8"/>
      </patternFill>
    </fill>
    <fill>
      <patternFill patternType="solid">
        <fgColor rgb="FFFFFFFF"/>
        <bgColor rgb="FFFFFE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3B6D11"/>
      <rgbColor rgb="FF800080"/>
      <rgbColor rgb="FF0F6E56"/>
      <rgbColor rgb="FFCCCCCC"/>
      <rgbColor rgb="FF888780"/>
      <rgbColor rgb="FF9999FF"/>
      <rgbColor rgb="FF993366"/>
      <rgbColor rgb="FFFFF8E1"/>
      <rgbColor rgb="FFE1F5EE"/>
      <rgbColor rgb="FF660066"/>
      <rgbColor rgb="FFFF8080"/>
      <rgbColor rgb="FF185FA5"/>
      <rgbColor rgb="FFEDE9F6"/>
      <rgbColor rgb="FF000080"/>
      <rgbColor rgb="FFFF00FF"/>
      <rgbColor rgb="FFFFFF00"/>
      <rgbColor rgb="FF00FFFF"/>
      <rgbColor rgb="FF800080"/>
      <rgbColor rgb="FF800000"/>
      <rgbColor rgb="FF1E6B2E"/>
      <rgbColor rgb="FF0000FF"/>
      <rgbColor rgb="FF00CCFF"/>
      <rgbColor rgb="FFE6F1FB"/>
      <rgbColor rgb="FFE8F5E9"/>
      <rgbColor rgb="FFEAF3DE"/>
      <rgbColor rgb="FFF1EFE8"/>
      <rgbColor rgb="FFFFFEF0"/>
      <rgbColor rgb="FFCC99FF"/>
      <rgbColor rgb="FFFCEBEB"/>
      <rgbColor rgb="FF3366FF"/>
      <rgbColor rgb="FF33CCCC"/>
      <rgbColor rgb="FF99CC00"/>
      <rgbColor rgb="FFFFCC00"/>
      <rgbColor rgb="FFE6A817"/>
      <rgbColor rgb="FFC45E00"/>
      <rgbColor rgb="FF666699"/>
      <rgbColor rgb="FF969696"/>
      <rgbColor rgb="FF003366"/>
      <rgbColor rgb="FF339966"/>
      <rgbColor rgb="FF003300"/>
      <rgbColor rgb="FF333300"/>
      <rgbColor rgb="FFA32D2D"/>
      <rgbColor rgb="FF993366"/>
      <rgbColor rgb="FF4A2C82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7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.75" hidden="false" customHeight="true" outlineLevel="0" collapsed="false">
      <c r="A5" s="4" t="s">
        <v>3</v>
      </c>
      <c r="B5" s="5" t="n">
        <f aca="false">IDENTITE!B4</f>
        <v>0</v>
      </c>
      <c r="C5" s="4" t="s">
        <v>4</v>
      </c>
      <c r="D5" s="5" t="n">
        <f aca="false">IDENTITE!B6</f>
        <v>0</v>
      </c>
      <c r="E5" s="4" t="s">
        <v>5</v>
      </c>
      <c r="F5" s="5" t="str">
        <f aca="false">IDENTITE!B7</f>
        <v>SAS — Société par Actions Simplifiée (OHADA)</v>
      </c>
      <c r="G5" s="4" t="s">
        <v>6</v>
      </c>
      <c r="H5" s="5" t="n">
        <f aca="false">IDENTITE!B10</f>
        <v>0</v>
      </c>
    </row>
    <row r="7" customFormat="false" ht="19.5" hidden="false" customHeight="true" outlineLevel="0" collapsed="false">
      <c r="A7" s="6" t="s">
        <v>7</v>
      </c>
      <c r="B7" s="6"/>
      <c r="C7" s="6"/>
      <c r="D7" s="6"/>
      <c r="E7" s="6"/>
      <c r="F7" s="6"/>
      <c r="G7" s="6"/>
    </row>
    <row r="8" customFormat="false" ht="24" hidden="false" customHeight="true" outlineLevel="0" collapsed="false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</row>
    <row r="9" customFormat="false" ht="15" hidden="false" customHeight="true" outlineLevel="0" collapsed="false">
      <c r="A9" s="4" t="s">
        <v>15</v>
      </c>
      <c r="B9" s="8" t="n">
        <f aca="false">ORGANISMES!C6</f>
        <v>0</v>
      </c>
      <c r="C9" s="9" t="n">
        <f aca="false">ORGANISMES!D6</f>
        <v>0</v>
      </c>
      <c r="D9" s="10" t="str">
        <f aca="true">IFERROR(IF(C9="","Renseigner",IF(NOT(ISNUMBER(C9)),"Format invalide",IF(C9&lt;TODAY(),"EXPIRÉ",IF(C9&lt;TODAY()+90,"URGENT &lt; 3 mois",IF(C9&lt;TODAY()+180,"Attention &lt; 6 mois","OK"))))),"-")</f>
        <v>Renseigner</v>
      </c>
      <c r="E9" s="11" t="s">
        <v>16</v>
      </c>
      <c r="F9" s="12"/>
      <c r="G9" s="13"/>
    </row>
    <row r="10" customFormat="false" ht="15" hidden="false" customHeight="true" outlineLevel="0" collapsed="false">
      <c r="A10" s="4" t="s">
        <v>17</v>
      </c>
      <c r="B10" s="8" t="n">
        <f aca="false">ORGANISMES!C11</f>
        <v>0</v>
      </c>
      <c r="C10" s="9" t="n">
        <f aca="false">ORGANISMES!D11</f>
        <v>0</v>
      </c>
      <c r="D10" s="10" t="str">
        <f aca="true">IFERROR(IF(C10="","Renseigner",IF(NOT(ISNUMBER(C10)),"Format invalide",IF(C10&lt;TODAY(),"EXPIRÉ",IF(C10&lt;TODAY()+90,"URGENT &lt; 3 mois",IF(C10&lt;TODAY()+180,"Attention &lt; 6 mois","OK"))))),"-")</f>
        <v>Renseigner</v>
      </c>
      <c r="E10" s="11" t="s">
        <v>16</v>
      </c>
      <c r="F10" s="12"/>
      <c r="G10" s="13"/>
    </row>
    <row r="11" customFormat="false" ht="15" hidden="false" customHeight="true" outlineLevel="0" collapsed="false">
      <c r="A11" s="4" t="s">
        <v>18</v>
      </c>
      <c r="B11" s="8" t="n">
        <f aca="false">ORGANISMES!C16</f>
        <v>0</v>
      </c>
      <c r="C11" s="9" t="n">
        <f aca="false">ORGANISMES!D16</f>
        <v>0</v>
      </c>
      <c r="D11" s="10" t="str">
        <f aca="true">IFERROR(IF(C11="","Renseigner",IF(NOT(ISNUMBER(C11)),"Format invalide",IF(C11&lt;TODAY(),"EXPIRÉ",IF(C11&lt;TODAY()+90,"URGENT &lt; 3 mois",IF(C11&lt;TODAY()+180,"Attention &lt; 6 mois","OK"))))),"-")</f>
        <v>Renseigner</v>
      </c>
      <c r="E11" s="11" t="s">
        <v>16</v>
      </c>
      <c r="F11" s="12"/>
      <c r="G11" s="13"/>
    </row>
    <row r="12" customFormat="false" ht="15" hidden="false" customHeight="true" outlineLevel="0" collapsed="false">
      <c r="A12" s="4" t="s">
        <v>19</v>
      </c>
      <c r="B12" s="8" t="n">
        <f aca="false">ORGANISMES!C21</f>
        <v>0</v>
      </c>
      <c r="C12" s="9" t="n">
        <f aca="false">ORGANISMES!D21</f>
        <v>0</v>
      </c>
      <c r="D12" s="10" t="str">
        <f aca="true">IFERROR(IF(C12="","Renseigner",IF(NOT(ISNUMBER(C12)),"Format invalide",IF(C12&lt;TODAY(),"EXPIRÉ",IF(C12&lt;TODAY()+90,"URGENT &lt; 3 mois",IF(C12&lt;TODAY()+180,"Attention &lt; 6 mois","OK"))))),"-")</f>
        <v>Renseigner</v>
      </c>
      <c r="E12" s="11" t="s">
        <v>16</v>
      </c>
      <c r="F12" s="12"/>
      <c r="G12" s="13"/>
    </row>
    <row r="13" customFormat="false" ht="15" hidden="false" customHeight="true" outlineLevel="0" collapsed="false">
      <c r="A13" s="4" t="s">
        <v>20</v>
      </c>
      <c r="B13" s="8" t="n">
        <f aca="false">ORGANISMES!C26</f>
        <v>0</v>
      </c>
      <c r="C13" s="9" t="n">
        <f aca="false">ORGANISMES!D26</f>
        <v>0</v>
      </c>
      <c r="D13" s="10" t="str">
        <f aca="true">IFERROR(IF(C13="","Renseigner",IF(NOT(ISNUMBER(C13)),"Format invalide",IF(C13&lt;TODAY(),"EXPIRÉ",IF(C13&lt;TODAY()+90,"URGENT &lt; 3 mois",IF(C13&lt;TODAY()+180,"Attention &lt; 6 mois","OK"))))),"-")</f>
        <v>Renseigner</v>
      </c>
      <c r="E13" s="11" t="s">
        <v>16</v>
      </c>
      <c r="F13" s="12"/>
      <c r="G13" s="13"/>
    </row>
    <row r="14" customFormat="false" ht="15" hidden="false" customHeight="true" outlineLevel="0" collapsed="false">
      <c r="A14" s="4" t="s">
        <v>21</v>
      </c>
      <c r="B14" s="8" t="n">
        <f aca="false">ORGANISMES!C31</f>
        <v>0</v>
      </c>
      <c r="C14" s="9" t="n">
        <f aca="false">ORGANISMES!D31</f>
        <v>0</v>
      </c>
      <c r="D14" s="10" t="str">
        <f aca="true">IFERROR(IF(C14="","Renseigner",IF(NOT(ISNUMBER(C14)),"Format invalide",IF(C14&lt;TODAY(),"EXPIRÉ",IF(C14&lt;TODAY()+90,"URGENT &lt; 3 mois",IF(C14&lt;TODAY()+180,"Attention &lt; 6 mois","OK"))))),"-")</f>
        <v>Renseigner</v>
      </c>
      <c r="E14" s="11" t="s">
        <v>16</v>
      </c>
      <c r="F14" s="12"/>
      <c r="G14" s="13"/>
    </row>
    <row r="15" customFormat="false" ht="15" hidden="false" customHeight="true" outlineLevel="0" collapsed="false">
      <c r="A15" s="4" t="s">
        <v>22</v>
      </c>
      <c r="B15" s="8" t="n">
        <f aca="false">ORGANISMES!C36</f>
        <v>0</v>
      </c>
      <c r="C15" s="9" t="n">
        <f aca="false">ORGANISMES!D36</f>
        <v>0</v>
      </c>
      <c r="D15" s="10" t="str">
        <f aca="true">IFERROR(IF(C15="","Renseigner",IF(NOT(ISNUMBER(C15)),"Format invalide",IF(C15&lt;TODAY(),"EXPIRÉ",IF(C15&lt;TODAY()+90,"URGENT &lt; 3 mois",IF(C15&lt;TODAY()+180,"Attention &lt; 6 mois","OK"))))),"-")</f>
        <v>Renseigner</v>
      </c>
      <c r="E15" s="11" t="s">
        <v>16</v>
      </c>
      <c r="F15" s="12"/>
      <c r="G15" s="13"/>
    </row>
    <row r="16" customFormat="false" ht="15" hidden="false" customHeight="true" outlineLevel="0" collapsed="false">
      <c r="A16" s="4" t="s">
        <v>23</v>
      </c>
      <c r="B16" s="8" t="n">
        <f aca="false">ORGANISMES!C41</f>
        <v>0</v>
      </c>
      <c r="C16" s="9" t="n">
        <f aca="false">ORGANISMES!D41</f>
        <v>0</v>
      </c>
      <c r="D16" s="10" t="str">
        <f aca="true">IFERROR(IF(C16="","Renseigner",IF(NOT(ISNUMBER(C16)),"Format invalide",IF(C16&lt;TODAY(),"EXPIRÉ",IF(C16&lt;TODAY()+90,"URGENT &lt; 3 mois",IF(C16&lt;TODAY()+180,"Attention &lt; 6 mois","OK"))))),"-")</f>
        <v>Renseigner</v>
      </c>
      <c r="E16" s="11" t="s">
        <v>16</v>
      </c>
      <c r="F16" s="12"/>
      <c r="G16" s="13"/>
    </row>
    <row r="17" customFormat="false" ht="15" hidden="false" customHeight="true" outlineLevel="0" collapsed="false">
      <c r="A17" s="4" t="s">
        <v>24</v>
      </c>
      <c r="B17" s="8" t="n">
        <f aca="false">ORGANISMES!C46</f>
        <v>0</v>
      </c>
      <c r="C17" s="9" t="str">
        <f aca="false">ORGANISMES!D46</f>
        <v>?</v>
      </c>
      <c r="D17" s="10" t="str">
        <f aca="true">IFERROR(IF(C17="","Renseigner",IF(NOT(ISNUMBER(C17)),"Format invalide",IF(C17&lt;TODAY(),"EXPIRÉ",IF(C17&lt;TODAY()+90,"URGENT &lt; 3 mois",IF(C17&lt;TODAY()+180,"Attention &lt; 6 mois","OK"))))),"-")</f>
        <v>Format invalide</v>
      </c>
      <c r="E17" s="11" t="s">
        <v>16</v>
      </c>
      <c r="F17" s="12"/>
      <c r="G17" s="13"/>
    </row>
    <row r="18" customFormat="false" ht="15" hidden="false" customHeight="true" outlineLevel="0" collapsed="false">
      <c r="A18" s="4" t="s">
        <v>25</v>
      </c>
      <c r="B18" s="8" t="n">
        <f aca="false">ORGANISMES!C51</f>
        <v>0</v>
      </c>
      <c r="C18" s="9" t="n">
        <f aca="false">ORGANISMES!D51</f>
        <v>0</v>
      </c>
      <c r="D18" s="10" t="str">
        <f aca="true">IFERROR(IF(C18="","Renseigner",IF(NOT(ISNUMBER(C18)),"Format invalide",IF(C18&lt;TODAY(),"EXPIRÉ",IF(C18&lt;TODAY()+90,"URGENT &lt; 3 mois",IF(C18&lt;TODAY()+180,"Attention &lt; 6 mois","OK"))))),"-")</f>
        <v>Renseigner</v>
      </c>
      <c r="E18" s="11" t="s">
        <v>16</v>
      </c>
      <c r="F18" s="12"/>
      <c r="G18" s="13"/>
    </row>
    <row r="20" customFormat="false" ht="19.5" hidden="false" customHeight="true" outlineLevel="0" collapsed="false">
      <c r="A20" s="14" t="s">
        <v>26</v>
      </c>
      <c r="B20" s="14"/>
      <c r="C20" s="14"/>
      <c r="D20" s="14"/>
      <c r="E20" s="14"/>
      <c r="F20" s="14"/>
      <c r="G20" s="14"/>
    </row>
    <row r="21" customFormat="false" ht="24" hidden="false" customHeight="true" outlineLevel="0" collapsed="false">
      <c r="A21" s="7" t="s">
        <v>27</v>
      </c>
      <c r="B21" s="7" t="s">
        <v>28</v>
      </c>
      <c r="C21" s="7" t="s">
        <v>29</v>
      </c>
      <c r="D21" s="7" t="s">
        <v>30</v>
      </c>
      <c r="E21" s="7" t="s">
        <v>31</v>
      </c>
      <c r="F21" s="7" t="s">
        <v>32</v>
      </c>
      <c r="G21" s="7" t="s">
        <v>33</v>
      </c>
    </row>
    <row r="22" customFormat="false" ht="13.5" hidden="false" customHeight="true" outlineLevel="0" collapsed="false">
      <c r="A22" s="4" t="s">
        <v>34</v>
      </c>
      <c r="B22" s="15" t="n">
        <f aca="false">RH_SAS!C48</f>
        <v>0</v>
      </c>
      <c r="C22" s="15" t="n">
        <f aca="false">RH_SAS!D48</f>
        <v>0</v>
      </c>
      <c r="D22" s="15" t="n">
        <f aca="false">RH_SAS!E48</f>
        <v>0</v>
      </c>
      <c r="E22" s="16" t="str">
        <f aca="false">IF(B22=0,"-",C22/B22-1)</f>
        <v>-</v>
      </c>
      <c r="F22" s="16" t="str">
        <f aca="false">IF(C22=0,"-",D22/C22-1)</f>
        <v>-</v>
      </c>
      <c r="G22" s="13"/>
    </row>
    <row r="23" customFormat="false" ht="13.5" hidden="false" customHeight="true" outlineLevel="0" collapsed="false">
      <c r="A23" s="4" t="s">
        <v>35</v>
      </c>
      <c r="B23" s="15" t="n">
        <f aca="false">RH_SAS!C70</f>
        <v>0</v>
      </c>
      <c r="C23" s="15" t="n">
        <f aca="false">RH_SAS!D70</f>
        <v>0</v>
      </c>
      <c r="D23" s="15" t="n">
        <f aca="false">RH_SAS!E70</f>
        <v>0</v>
      </c>
      <c r="E23" s="16" t="str">
        <f aca="false">IF(B23=0,"-",C23/B23-1)</f>
        <v>-</v>
      </c>
      <c r="F23" s="16" t="str">
        <f aca="false">IF(C23=0,"-",D23/C23-1)</f>
        <v>-</v>
      </c>
      <c r="G23" s="13"/>
    </row>
    <row r="24" customFormat="false" ht="13.5" hidden="false" customHeight="true" outlineLevel="0" collapsed="false">
      <c r="A24" s="4" t="s">
        <v>36</v>
      </c>
      <c r="B24" s="15" t="n">
        <f aca="false">RH_SAS!C71</f>
        <v>0</v>
      </c>
      <c r="C24" s="15" t="n">
        <f aca="false">RH_SAS!D71</f>
        <v>0</v>
      </c>
      <c r="D24" s="15" t="n">
        <f aca="false">RH_SAS!E71</f>
        <v>0</v>
      </c>
      <c r="E24" s="16" t="str">
        <f aca="false">IF(B24=0,"-",C24/B24-1)</f>
        <v>-</v>
      </c>
      <c r="F24" s="16" t="str">
        <f aca="false">IF(C24=0,"-",D24/C24-1)</f>
        <v>-</v>
      </c>
      <c r="G24" s="13"/>
    </row>
    <row r="25" customFormat="false" ht="13.5" hidden="false" customHeight="true" outlineLevel="0" collapsed="false">
      <c r="A25" s="4" t="s">
        <v>37</v>
      </c>
      <c r="B25" s="15" t="n">
        <f aca="false">RH_SAS!C72</f>
        <v>0</v>
      </c>
      <c r="C25" s="15" t="n">
        <f aca="false">RH_SAS!D72</f>
        <v>0</v>
      </c>
      <c r="D25" s="15" t="n">
        <f aca="false">RH_SAS!E72</f>
        <v>0</v>
      </c>
      <c r="E25" s="16" t="str">
        <f aca="false">IF(B25=0,"-",C25/B25-1)</f>
        <v>-</v>
      </c>
      <c r="F25" s="16" t="str">
        <f aca="false">IF(C25=0,"-",D25/C25-1)</f>
        <v>-</v>
      </c>
      <c r="G25" s="13"/>
    </row>
    <row r="26" customFormat="false" ht="13.5" hidden="false" customHeight="true" outlineLevel="0" collapsed="false">
      <c r="A26" s="4" t="s">
        <v>38</v>
      </c>
      <c r="B26" s="15" t="n">
        <f aca="false">RH_SAS!C73</f>
        <v>0</v>
      </c>
      <c r="C26" s="15" t="n">
        <f aca="false">RH_SAS!D73</f>
        <v>0</v>
      </c>
      <c r="D26" s="15" t="n">
        <f aca="false">RH_SAS!E73</f>
        <v>0</v>
      </c>
      <c r="E26" s="16" t="str">
        <f aca="false">IF(B26=0,"-",C26/B26-1)</f>
        <v>-</v>
      </c>
      <c r="F26" s="16" t="str">
        <f aca="false">IF(C26=0,"-",D26/C26-1)</f>
        <v>-</v>
      </c>
      <c r="G26" s="13"/>
    </row>
    <row r="28" customFormat="false" ht="19.5" hidden="false" customHeight="true" outlineLevel="0" collapsed="false">
      <c r="A28" s="17" t="s">
        <v>39</v>
      </c>
      <c r="B28" s="17"/>
      <c r="C28" s="17"/>
      <c r="D28" s="17"/>
      <c r="E28" s="17"/>
      <c r="F28" s="17"/>
      <c r="G28" s="17"/>
    </row>
    <row r="29" customFormat="false" ht="13.5" hidden="false" customHeight="true" outlineLevel="0" collapsed="false">
      <c r="A29" s="18" t="s">
        <v>40</v>
      </c>
      <c r="B29" s="15" t="n">
        <f aca="false">FINANCES!C5</f>
        <v>0</v>
      </c>
      <c r="C29" s="15" t="n">
        <f aca="false">FINANCES!D5</f>
        <v>0</v>
      </c>
      <c r="D29" s="15" t="n">
        <f aca="false">FINANCES!E5</f>
        <v>0</v>
      </c>
      <c r="E29" s="13"/>
      <c r="F29" s="13"/>
      <c r="G29" s="13"/>
    </row>
    <row r="30" customFormat="false" ht="13.5" hidden="false" customHeight="true" outlineLevel="0" collapsed="false">
      <c r="A30" s="18" t="s">
        <v>41</v>
      </c>
      <c r="B30" s="15" t="n">
        <f aca="false">FINANCES!C32</f>
        <v>0</v>
      </c>
      <c r="C30" s="15" t="n">
        <f aca="false">FINANCES!D32</f>
        <v>0</v>
      </c>
      <c r="D30" s="15" t="n">
        <f aca="false">FINANCES!E32</f>
        <v>0</v>
      </c>
      <c r="E30" s="13"/>
      <c r="F30" s="13"/>
      <c r="G30" s="13"/>
    </row>
    <row r="31" customFormat="false" ht="13.5" hidden="false" customHeight="true" outlineLevel="0" collapsed="false">
      <c r="A31" s="18" t="s">
        <v>42</v>
      </c>
      <c r="B31" s="15" t="n">
        <f aca="false">FINANCES!C34</f>
        <v>0</v>
      </c>
      <c r="C31" s="15" t="n">
        <f aca="false">FINANCES!D34</f>
        <v>0</v>
      </c>
      <c r="D31" s="15" t="n">
        <f aca="false">FINANCES!E34</f>
        <v>0</v>
      </c>
      <c r="E31" s="13"/>
      <c r="F31" s="13"/>
      <c r="G31" s="13"/>
    </row>
    <row r="32" customFormat="false" ht="13.5" hidden="false" customHeight="true" outlineLevel="0" collapsed="false">
      <c r="A32" s="18" t="s">
        <v>43</v>
      </c>
      <c r="B32" s="15" t="n">
        <f aca="false">FINANCES!C35</f>
        <v>0</v>
      </c>
      <c r="C32" s="15" t="n">
        <f aca="false">FINANCES!D35</f>
        <v>0</v>
      </c>
      <c r="D32" s="15" t="n">
        <f aca="false">FINANCES!E35</f>
        <v>0</v>
      </c>
      <c r="E32" s="13"/>
      <c r="F32" s="13"/>
      <c r="G32" s="13"/>
    </row>
    <row r="33" customFormat="false" ht="13.5" hidden="false" customHeight="true" outlineLevel="0" collapsed="false">
      <c r="A33" s="18" t="s">
        <v>44</v>
      </c>
      <c r="B33" s="15" t="n">
        <f aca="false">FINANCES!C38</f>
        <v>0</v>
      </c>
      <c r="C33" s="15" t="n">
        <f aca="false">FINANCES!D38</f>
        <v>0</v>
      </c>
      <c r="D33" s="15" t="n">
        <f aca="false">FINANCES!E38</f>
        <v>0</v>
      </c>
      <c r="E33" s="13"/>
      <c r="F33" s="13"/>
      <c r="G33" s="13"/>
    </row>
    <row r="34" customFormat="false" ht="13.5" hidden="false" customHeight="true" outlineLevel="0" collapsed="false">
      <c r="A34" s="18" t="s">
        <v>45</v>
      </c>
      <c r="B34" s="15" t="n">
        <f aca="false">FINANCES!C39</f>
        <v>0</v>
      </c>
      <c r="C34" s="15" t="n">
        <f aca="false">FINANCES!D39</f>
        <v>0</v>
      </c>
      <c r="D34" s="15" t="n">
        <f aca="false">FINANCES!E39</f>
        <v>0</v>
      </c>
      <c r="E34" s="13"/>
      <c r="F34" s="13"/>
      <c r="G34" s="13"/>
    </row>
    <row r="35" customFormat="false" ht="13.5" hidden="false" customHeight="true" outlineLevel="0" collapsed="false">
      <c r="A35" s="18" t="s">
        <v>46</v>
      </c>
      <c r="B35" s="15" t="n">
        <f aca="false">FINANCES!C40</f>
        <v>0</v>
      </c>
      <c r="C35" s="15" t="n">
        <f aca="false">FINANCES!D40</f>
        <v>0</v>
      </c>
      <c r="D35" s="15" t="n">
        <f aca="false">FINANCES!E40</f>
        <v>0</v>
      </c>
      <c r="E35" s="13"/>
      <c r="F35" s="13"/>
      <c r="G35" s="13"/>
    </row>
  </sheetData>
  <mergeCells count="6">
    <mergeCell ref="A1:G1"/>
    <mergeCell ref="A2:G2"/>
    <mergeCell ref="A3:G3"/>
    <mergeCell ref="A7:G7"/>
    <mergeCell ref="A20:G20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4"/>
    <col collapsed="false" customWidth="true" hidden="false" outlineLevel="0" max="5" min="4" style="0" width="30"/>
  </cols>
  <sheetData>
    <row r="1" customFormat="false" ht="19.5" hidden="false" customHeight="true" outlineLevel="0" collapsed="false">
      <c r="A1" s="1" t="s">
        <v>47</v>
      </c>
      <c r="B1" s="1"/>
      <c r="C1" s="1"/>
      <c r="D1" s="1"/>
      <c r="E1" s="1"/>
    </row>
    <row r="2" customFormat="false" ht="19.5" hidden="false" customHeight="true" outlineLevel="0" collapsed="false">
      <c r="A2" s="3" t="s">
        <v>48</v>
      </c>
      <c r="B2" s="3"/>
      <c r="C2" s="3"/>
      <c r="D2" s="3"/>
      <c r="E2" s="3"/>
    </row>
    <row r="3" customFormat="false" ht="13.5" hidden="false" customHeight="true" outlineLevel="0" collapsed="false">
      <c r="A3" s="2" t="s">
        <v>49</v>
      </c>
      <c r="B3" s="2"/>
      <c r="C3" s="2"/>
      <c r="D3" s="2"/>
      <c r="E3" s="2"/>
    </row>
    <row r="4" customFormat="false" ht="19.5" hidden="false" customHeight="true" outlineLevel="0" collapsed="false">
      <c r="D4" s="3" t="s">
        <v>50</v>
      </c>
      <c r="E4" s="3"/>
    </row>
    <row r="5" customFormat="false" ht="19.5" hidden="false" customHeight="true" outlineLevel="0" collapsed="false">
      <c r="A5" s="19" t="s">
        <v>51</v>
      </c>
      <c r="B5" s="19"/>
      <c r="D5" s="20" t="s">
        <v>52</v>
      </c>
      <c r="E5" s="20" t="s">
        <v>53</v>
      </c>
    </row>
    <row r="6" customFormat="false" ht="13.5" hidden="false" customHeight="true" outlineLevel="0" collapsed="false">
      <c r="A6" s="4" t="s">
        <v>54</v>
      </c>
      <c r="B6" s="13"/>
      <c r="D6" s="21" t="s">
        <v>55</v>
      </c>
      <c r="E6" s="13"/>
    </row>
    <row r="7" customFormat="false" ht="13.5" hidden="false" customHeight="true" outlineLevel="0" collapsed="false">
      <c r="A7" s="4" t="s">
        <v>56</v>
      </c>
      <c r="B7" s="22" t="s">
        <v>57</v>
      </c>
      <c r="D7" s="21" t="s">
        <v>58</v>
      </c>
      <c r="E7" s="13"/>
    </row>
    <row r="8" customFormat="false" ht="13.5" hidden="false" customHeight="true" outlineLevel="0" collapsed="false">
      <c r="A8" s="4" t="s">
        <v>59</v>
      </c>
      <c r="B8" s="13"/>
      <c r="D8" s="21" t="s">
        <v>60</v>
      </c>
      <c r="E8" s="13"/>
    </row>
    <row r="9" customFormat="false" ht="13.5" hidden="false" customHeight="true" outlineLevel="0" collapsed="false">
      <c r="A9" s="4" t="s">
        <v>61</v>
      </c>
      <c r="B9" s="13"/>
      <c r="D9" s="21" t="s">
        <v>62</v>
      </c>
      <c r="E9" s="13"/>
    </row>
    <row r="10" customFormat="false" ht="13.5" hidden="false" customHeight="true" outlineLevel="0" collapsed="false">
      <c r="A10" s="4" t="s">
        <v>63</v>
      </c>
      <c r="B10" s="13"/>
      <c r="D10" s="21" t="s">
        <v>64</v>
      </c>
      <c r="E10" s="13"/>
    </row>
    <row r="11" customFormat="false" ht="13.5" hidden="false" customHeight="true" outlineLevel="0" collapsed="false">
      <c r="A11" s="4" t="s">
        <v>65</v>
      </c>
      <c r="B11" s="13"/>
      <c r="D11" s="21" t="s">
        <v>66</v>
      </c>
      <c r="E11" s="13"/>
    </row>
    <row r="12" customFormat="false" ht="13.5" hidden="false" customHeight="true" outlineLevel="0" collapsed="false">
      <c r="A12" s="4" t="s">
        <v>67</v>
      </c>
      <c r="B12" s="13"/>
      <c r="D12" s="21" t="s">
        <v>68</v>
      </c>
      <c r="E12" s="13"/>
    </row>
    <row r="13" customFormat="false" ht="15" hidden="false" customHeight="false" outlineLevel="0" collapsed="false">
      <c r="A13" s="4" t="s">
        <v>69</v>
      </c>
      <c r="B13" s="13"/>
    </row>
    <row r="14" customFormat="false" ht="19.5" hidden="false" customHeight="true" outlineLevel="0" collapsed="false">
      <c r="A14" s="4" t="s">
        <v>70</v>
      </c>
      <c r="B14" s="13"/>
      <c r="D14" s="23" t="s">
        <v>71</v>
      </c>
      <c r="E14" s="23"/>
    </row>
    <row r="15" customFormat="false" ht="24" hidden="false" customHeight="true" outlineLevel="0" collapsed="false">
      <c r="A15" s="4" t="s">
        <v>72</v>
      </c>
      <c r="B15" s="13"/>
      <c r="D15" s="24" t="s">
        <v>73</v>
      </c>
      <c r="E15" s="24" t="s">
        <v>74</v>
      </c>
    </row>
    <row r="16" customFormat="false" ht="13.5" hidden="false" customHeight="true" outlineLevel="0" collapsed="false">
      <c r="A16" s="4" t="s">
        <v>75</v>
      </c>
      <c r="B16" s="22" t="s">
        <v>76</v>
      </c>
      <c r="D16" s="21" t="s">
        <v>77</v>
      </c>
      <c r="E16" s="12"/>
    </row>
    <row r="17" customFormat="false" ht="13.5" hidden="false" customHeight="true" outlineLevel="0" collapsed="false">
      <c r="D17" s="21" t="s">
        <v>78</v>
      </c>
      <c r="E17" s="12"/>
    </row>
    <row r="18" customFormat="false" ht="13.5" hidden="false" customHeight="true" outlineLevel="0" collapsed="false">
      <c r="A18" s="19" t="s">
        <v>79</v>
      </c>
      <c r="B18" s="19"/>
      <c r="D18" s="21" t="s">
        <v>80</v>
      </c>
      <c r="E18" s="12"/>
    </row>
    <row r="19" customFormat="false" ht="13.5" hidden="false" customHeight="true" outlineLevel="0" collapsed="false">
      <c r="A19" s="4" t="s">
        <v>81</v>
      </c>
      <c r="B19" s="13"/>
      <c r="D19" s="21" t="s">
        <v>82</v>
      </c>
      <c r="E19" s="12"/>
    </row>
    <row r="20" customFormat="false" ht="13.5" hidden="false" customHeight="true" outlineLevel="0" collapsed="false">
      <c r="A20" s="4" t="s">
        <v>83</v>
      </c>
      <c r="B20" s="13"/>
      <c r="D20" s="21" t="s">
        <v>84</v>
      </c>
      <c r="E20" s="12"/>
    </row>
    <row r="21" customFormat="false" ht="13.5" hidden="false" customHeight="true" outlineLevel="0" collapsed="false">
      <c r="A21" s="4" t="s">
        <v>85</v>
      </c>
      <c r="B21" s="13"/>
      <c r="D21" s="21" t="s">
        <v>86</v>
      </c>
      <c r="E21" s="12"/>
    </row>
    <row r="22" customFormat="false" ht="13.5" hidden="false" customHeight="true" outlineLevel="0" collapsed="false">
      <c r="A22" s="4" t="s">
        <v>87</v>
      </c>
      <c r="B22" s="13"/>
      <c r="D22" s="21" t="s">
        <v>88</v>
      </c>
      <c r="E22" s="12"/>
    </row>
    <row r="23" customFormat="false" ht="13.5" hidden="false" customHeight="true" outlineLevel="0" collapsed="false">
      <c r="A23" s="4" t="s">
        <v>89</v>
      </c>
      <c r="B23" s="13"/>
      <c r="D23" s="21" t="s">
        <v>90</v>
      </c>
      <c r="E23" s="12"/>
    </row>
    <row r="24" customFormat="false" ht="15" hidden="false" customHeight="false" outlineLevel="0" collapsed="false">
      <c r="A24" s="4" t="s">
        <v>91</v>
      </c>
      <c r="B24" s="13"/>
    </row>
    <row r="26" customFormat="false" ht="19.5" hidden="false" customHeight="true" outlineLevel="0" collapsed="false">
      <c r="A26" s="3" t="s">
        <v>92</v>
      </c>
      <c r="B26" s="3"/>
      <c r="D26" s="25" t="s">
        <v>93</v>
      </c>
      <c r="E26" s="25"/>
    </row>
    <row r="27" customFormat="false" ht="24" hidden="false" customHeight="true" outlineLevel="0" collapsed="false">
      <c r="A27" s="26" t="s">
        <v>94</v>
      </c>
      <c r="B27" s="26"/>
      <c r="D27" s="27" t="s">
        <v>95</v>
      </c>
      <c r="E27" s="27" t="s">
        <v>96</v>
      </c>
    </row>
    <row r="28" customFormat="false" ht="13.5" hidden="false" customHeight="true" outlineLevel="0" collapsed="false">
      <c r="A28" s="28" t="s">
        <v>97</v>
      </c>
      <c r="B28" s="28" t="s">
        <v>98</v>
      </c>
      <c r="D28" s="29" t="s">
        <v>99</v>
      </c>
      <c r="E28" s="13"/>
    </row>
    <row r="29" customFormat="false" ht="13.5" hidden="false" customHeight="true" outlineLevel="0" collapsed="false">
      <c r="A29" s="13"/>
      <c r="B29" s="30"/>
      <c r="D29" s="29" t="s">
        <v>100</v>
      </c>
      <c r="E29" s="13"/>
    </row>
    <row r="30" customFormat="false" ht="13.5" hidden="false" customHeight="true" outlineLevel="0" collapsed="false">
      <c r="A30" s="13"/>
      <c r="B30" s="30"/>
      <c r="D30" s="29" t="s">
        <v>101</v>
      </c>
      <c r="E30" s="13"/>
    </row>
    <row r="31" customFormat="false" ht="13.5" hidden="false" customHeight="true" outlineLevel="0" collapsed="false">
      <c r="A31" s="13"/>
      <c r="B31" s="30"/>
    </row>
    <row r="32" customFormat="false" ht="13.5" hidden="false" customHeight="true" outlineLevel="0" collapsed="false">
      <c r="A32" s="13"/>
      <c r="B32" s="30"/>
    </row>
    <row r="33" customFormat="false" ht="13.5" hidden="false" customHeight="true" outlineLevel="0" collapsed="false">
      <c r="A33" s="13"/>
      <c r="B33" s="30"/>
    </row>
  </sheetData>
  <mergeCells count="10">
    <mergeCell ref="A1:E1"/>
    <mergeCell ref="A2:E2"/>
    <mergeCell ref="A3:E3"/>
    <mergeCell ref="D4:E4"/>
    <mergeCell ref="A5:B5"/>
    <mergeCell ref="D14:E14"/>
    <mergeCell ref="A18:B18"/>
    <mergeCell ref="A26:B26"/>
    <mergeCell ref="D26:E26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9.5" hidden="false" customHeight="true" outlineLevel="0" collapsed="false">
      <c r="A1" s="31" t="s">
        <v>102</v>
      </c>
      <c r="B1" s="31"/>
      <c r="C1" s="31"/>
      <c r="D1" s="31"/>
      <c r="E1" s="31"/>
      <c r="F1" s="31"/>
      <c r="G1" s="31"/>
      <c r="H1" s="31"/>
    </row>
    <row r="2" customFormat="false" ht="19.5" hidden="false" customHeight="true" outlineLevel="0" collapsed="false">
      <c r="A2" s="3" t="s">
        <v>103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>
      <c r="A3" s="2" t="s">
        <v>104</v>
      </c>
      <c r="B3" s="2"/>
      <c r="C3" s="2"/>
      <c r="D3" s="2"/>
      <c r="E3" s="2"/>
      <c r="F3" s="2"/>
      <c r="G3" s="2"/>
      <c r="H3" s="2"/>
    </row>
    <row r="4" customFormat="false" ht="24" hidden="false" customHeight="true" outlineLevel="0" collapsed="false">
      <c r="A4" s="7" t="s">
        <v>105</v>
      </c>
      <c r="B4" s="7" t="s">
        <v>106</v>
      </c>
      <c r="C4" s="7" t="s">
        <v>9</v>
      </c>
      <c r="D4" s="7" t="s">
        <v>10</v>
      </c>
      <c r="E4" s="7" t="s">
        <v>12</v>
      </c>
      <c r="F4" s="7" t="s">
        <v>107</v>
      </c>
      <c r="G4" s="7" t="s">
        <v>108</v>
      </c>
      <c r="H4" s="7" t="s">
        <v>109</v>
      </c>
    </row>
    <row r="5" customFormat="false" ht="15.75" hidden="false" customHeight="true" outlineLevel="0" collapsed="false">
      <c r="A5" s="32" t="s">
        <v>110</v>
      </c>
      <c r="B5" s="32"/>
      <c r="C5" s="32"/>
      <c r="D5" s="32"/>
      <c r="E5" s="32"/>
      <c r="F5" s="32"/>
      <c r="G5" s="32"/>
      <c r="H5" s="32"/>
    </row>
    <row r="6" customFormat="false" ht="13.5" hidden="false" customHeight="true" outlineLevel="0" collapsed="false">
      <c r="A6" s="33" t="s">
        <v>111</v>
      </c>
      <c r="B6" s="13" t="s">
        <v>16</v>
      </c>
      <c r="C6" s="13"/>
      <c r="D6" s="12"/>
      <c r="E6" s="11" t="s">
        <v>16</v>
      </c>
      <c r="F6" s="12"/>
      <c r="G6" s="10" t="str">
        <f aca="true">IFERROR(IF(D6="","—",IF(D6&lt;TODAY(),"EXPIRÉ",IF(D6&lt;TODAY()+90,"URGENT &lt; 3 mois",IF(D6&lt;TODAY()+180,"Attention &lt; 6 mois","OK — "&amp;TEXT(D6,"MM/YYYY"))))),"—")</f>
        <v>—</v>
      </c>
      <c r="H6" s="13"/>
    </row>
    <row r="7" customFormat="false" ht="13.5" hidden="false" customHeight="true" outlineLevel="0" collapsed="false">
      <c r="A7" s="33" t="s">
        <v>112</v>
      </c>
      <c r="B7" s="13" t="s">
        <v>16</v>
      </c>
      <c r="C7" s="13"/>
      <c r="D7" s="12"/>
      <c r="E7" s="11" t="s">
        <v>16</v>
      </c>
      <c r="F7" s="12"/>
      <c r="G7" s="10" t="str">
        <f aca="true">IFERROR(IF(D7="","—",IF(D7&lt;TODAY(),"EXPIRÉ",IF(D7&lt;TODAY()+90,"URGENT &lt; 3 mois",IF(D7&lt;TODAY()+180,"Attention &lt; 6 mois","OK — "&amp;TEXT(D7,"MM/YYYY"))))),"—")</f>
        <v>—</v>
      </c>
      <c r="H7" s="13"/>
    </row>
    <row r="8" customFormat="false" ht="13.5" hidden="false" customHeight="true" outlineLevel="0" collapsed="false">
      <c r="A8" s="33" t="s">
        <v>113</v>
      </c>
      <c r="B8" s="13" t="s">
        <v>16</v>
      </c>
      <c r="C8" s="13"/>
      <c r="D8" s="12"/>
      <c r="E8" s="11" t="s">
        <v>16</v>
      </c>
      <c r="F8" s="12"/>
      <c r="G8" s="10" t="str">
        <f aca="true">IFERROR(IF(D8="","—",IF(D8&lt;TODAY(),"EXPIRÉ",IF(D8&lt;TODAY()+90,"URGENT &lt; 3 mois",IF(D8&lt;TODAY()+180,"Attention &lt; 6 mois","OK — "&amp;TEXT(D8,"MM/YYYY"))))),"—")</f>
        <v>—</v>
      </c>
      <c r="H8" s="13"/>
    </row>
    <row r="9" customFormat="false" ht="15.75" hidden="false" customHeight="true" outlineLevel="0" collapsed="false">
      <c r="A9" s="32" t="s">
        <v>114</v>
      </c>
      <c r="B9" s="32"/>
      <c r="C9" s="32"/>
      <c r="D9" s="32"/>
      <c r="E9" s="32"/>
      <c r="F9" s="32"/>
      <c r="G9" s="32"/>
      <c r="H9" s="32"/>
    </row>
    <row r="10" customFormat="false" ht="13.5" hidden="false" customHeight="true" outlineLevel="0" collapsed="false">
      <c r="A10" s="33" t="s">
        <v>115</v>
      </c>
      <c r="B10" s="13" t="s">
        <v>16</v>
      </c>
      <c r="C10" s="13"/>
      <c r="D10" s="12"/>
      <c r="E10" s="11" t="s">
        <v>16</v>
      </c>
      <c r="F10" s="12"/>
      <c r="G10" s="10" t="str">
        <f aca="true">IFERROR(IF(D10="","—",IF(D10&lt;TODAY(),"EXPIRÉ",IF(D10&lt;TODAY()+90,"URGENT &lt; 3 mois",IF(D10&lt;TODAY()+180,"Attention &lt; 6 mois","OK — "&amp;TEXT(D10,"MM/YYYY"))))),"—")</f>
        <v>—</v>
      </c>
      <c r="H10" s="13"/>
    </row>
    <row r="11" customFormat="false" ht="13.5" hidden="false" customHeight="true" outlineLevel="0" collapsed="false">
      <c r="A11" s="33" t="s">
        <v>116</v>
      </c>
      <c r="B11" s="13" t="s">
        <v>16</v>
      </c>
      <c r="C11" s="13"/>
      <c r="D11" s="12"/>
      <c r="E11" s="11" t="s">
        <v>16</v>
      </c>
      <c r="F11" s="12"/>
      <c r="G11" s="10" t="str">
        <f aca="true">IFERROR(IF(D11="","—",IF(D11&lt;TODAY(),"EXPIRÉ",IF(D11&lt;TODAY()+90,"URGENT &lt; 3 mois",IF(D11&lt;TODAY()+180,"Attention &lt; 6 mois","OK — "&amp;TEXT(D11,"MM/YYYY"))))),"—")</f>
        <v>—</v>
      </c>
      <c r="H11" s="13"/>
    </row>
    <row r="12" customFormat="false" ht="15.75" hidden="false" customHeight="true" outlineLevel="0" collapsed="false">
      <c r="A12" s="34" t="s">
        <v>117</v>
      </c>
      <c r="B12" s="34"/>
      <c r="C12" s="34"/>
      <c r="D12" s="34"/>
      <c r="E12" s="34"/>
      <c r="F12" s="34"/>
      <c r="G12" s="34"/>
      <c r="H12" s="34"/>
    </row>
    <row r="13" customFormat="false" ht="13.5" hidden="false" customHeight="true" outlineLevel="0" collapsed="false">
      <c r="A13" s="33" t="s">
        <v>118</v>
      </c>
      <c r="B13" s="13" t="s">
        <v>16</v>
      </c>
      <c r="C13" s="13"/>
      <c r="D13" s="12"/>
      <c r="E13" s="11" t="s">
        <v>16</v>
      </c>
      <c r="F13" s="12"/>
      <c r="G13" s="10" t="str">
        <f aca="true">IFERROR(IF(D13="","—",IF(D13&lt;TODAY(),"EXPIRÉ",IF(D13&lt;TODAY()+90,"URGENT &lt; 3 mois",IF(D13&lt;TODAY()+180,"Attention &lt; 6 mois","OK — "&amp;TEXT(D13,"MM/YYYY"))))),"—")</f>
        <v>—</v>
      </c>
      <c r="H13" s="13"/>
    </row>
    <row r="14" customFormat="false" ht="13.5" hidden="false" customHeight="true" outlineLevel="0" collapsed="false">
      <c r="A14" s="33" t="s">
        <v>119</v>
      </c>
      <c r="B14" s="13" t="s">
        <v>16</v>
      </c>
      <c r="C14" s="13"/>
      <c r="D14" s="12"/>
      <c r="E14" s="11" t="s">
        <v>16</v>
      </c>
      <c r="F14" s="12"/>
      <c r="G14" s="10" t="str">
        <f aca="true">IFERROR(IF(D14="","—",IF(D14&lt;TODAY(),"EXPIRÉ",IF(D14&lt;TODAY()+90,"URGENT &lt; 3 mois",IF(D14&lt;TODAY()+180,"Attention &lt; 6 mois","OK — "&amp;TEXT(D14,"MM/YYYY"))))),"—")</f>
        <v>—</v>
      </c>
      <c r="H14" s="13"/>
    </row>
    <row r="15" customFormat="false" ht="13.5" hidden="false" customHeight="true" outlineLevel="0" collapsed="false">
      <c r="A15" s="33" t="s">
        <v>120</v>
      </c>
      <c r="B15" s="13" t="s">
        <v>16</v>
      </c>
      <c r="C15" s="13"/>
      <c r="D15" s="12"/>
      <c r="E15" s="11" t="s">
        <v>16</v>
      </c>
      <c r="F15" s="12"/>
      <c r="G15" s="10" t="str">
        <f aca="true">IFERROR(IF(D15="","—",IF(D15&lt;TODAY(),"EXPIRÉ",IF(D15&lt;TODAY()+90,"URGENT &lt; 3 mois",IF(D15&lt;TODAY()+180,"Attention &lt; 6 mois","OK — "&amp;TEXT(D15,"MM/YYYY"))))),"—")</f>
        <v>—</v>
      </c>
      <c r="H15" s="13"/>
    </row>
    <row r="16" customFormat="false" ht="15.75" hidden="false" customHeight="true" outlineLevel="0" collapsed="false">
      <c r="A16" s="35" t="s">
        <v>121</v>
      </c>
      <c r="B16" s="35"/>
      <c r="C16" s="35"/>
      <c r="D16" s="35"/>
      <c r="E16" s="35"/>
      <c r="F16" s="35"/>
      <c r="G16" s="35"/>
      <c r="H16" s="35"/>
    </row>
    <row r="17" customFormat="false" ht="13.5" hidden="false" customHeight="true" outlineLevel="0" collapsed="false">
      <c r="A17" s="33" t="s">
        <v>122</v>
      </c>
      <c r="B17" s="13" t="s">
        <v>16</v>
      </c>
      <c r="C17" s="13"/>
      <c r="D17" s="12"/>
      <c r="E17" s="11" t="s">
        <v>16</v>
      </c>
      <c r="F17" s="12"/>
      <c r="G17" s="10" t="str">
        <f aca="true">IFERROR(IF(D17="","—",IF(D17&lt;TODAY(),"EXPIRÉ",IF(D17&lt;TODAY()+90,"URGENT &lt; 3 mois",IF(D17&lt;TODAY()+180,"Attention &lt; 6 mois","OK — "&amp;TEXT(D17,"MM/YYYY"))))),"—")</f>
        <v>—</v>
      </c>
      <c r="H17" s="13"/>
    </row>
    <row r="18" customFormat="false" ht="13.5" hidden="false" customHeight="true" outlineLevel="0" collapsed="false">
      <c r="A18" s="33" t="s">
        <v>123</v>
      </c>
      <c r="B18" s="13" t="s">
        <v>16</v>
      </c>
      <c r="C18" s="13"/>
      <c r="D18" s="12"/>
      <c r="E18" s="11" t="s">
        <v>16</v>
      </c>
      <c r="F18" s="12"/>
      <c r="G18" s="10" t="str">
        <f aca="true">IFERROR(IF(D18="","—",IF(D18&lt;TODAY(),"EXPIRÉ",IF(D18&lt;TODAY()+90,"URGENT &lt; 3 mois",IF(D18&lt;TODAY()+180,"Attention &lt; 6 mois","OK — "&amp;TEXT(D18,"MM/YYYY"))))),"—")</f>
        <v>—</v>
      </c>
      <c r="H18" s="13"/>
    </row>
    <row r="19" customFormat="false" ht="13.5" hidden="false" customHeight="true" outlineLevel="0" collapsed="false">
      <c r="A19" s="33" t="s">
        <v>124</v>
      </c>
      <c r="B19" s="13" t="s">
        <v>16</v>
      </c>
      <c r="C19" s="13"/>
      <c r="D19" s="12"/>
      <c r="E19" s="11" t="s">
        <v>16</v>
      </c>
      <c r="F19" s="12"/>
      <c r="G19" s="10" t="str">
        <f aca="true">IFERROR(IF(D19="","—",IF(D19&lt;TODAY(),"EXPIRÉ",IF(D19&lt;TODAY()+90,"URGENT &lt; 3 mois",IF(D19&lt;TODAY()+180,"Attention &lt; 6 mois","OK — "&amp;TEXT(D19,"MM/YYYY"))))),"—")</f>
        <v>—</v>
      </c>
      <c r="H19" s="13"/>
    </row>
    <row r="20" customFormat="false" ht="13.5" hidden="false" customHeight="true" outlineLevel="0" collapsed="false">
      <c r="A20" s="33" t="s">
        <v>125</v>
      </c>
      <c r="B20" s="13" t="s">
        <v>16</v>
      </c>
      <c r="C20" s="13"/>
      <c r="D20" s="12"/>
      <c r="E20" s="11" t="s">
        <v>16</v>
      </c>
      <c r="F20" s="12"/>
      <c r="G20" s="10" t="str">
        <f aca="true">IFERROR(IF(D20="","—",IF(D20&lt;TODAY(),"EXPIRÉ",IF(D20&lt;TODAY()+90,"URGENT &lt; 3 mois",IF(D20&lt;TODAY()+180,"Attention &lt; 6 mois","OK — "&amp;TEXT(D20,"MM/YYYY"))))),"—")</f>
        <v>—</v>
      </c>
      <c r="H20" s="13"/>
    </row>
    <row r="21" customFormat="false" ht="15.75" hidden="false" customHeight="true" outlineLevel="0" collapsed="false">
      <c r="A21" s="36" t="s">
        <v>126</v>
      </c>
      <c r="B21" s="36"/>
      <c r="C21" s="36"/>
      <c r="D21" s="36"/>
      <c r="E21" s="36"/>
      <c r="F21" s="36"/>
      <c r="G21" s="36"/>
      <c r="H21" s="36"/>
    </row>
    <row r="22" customFormat="false" ht="13.5" hidden="false" customHeight="true" outlineLevel="0" collapsed="false">
      <c r="A22" s="33" t="s">
        <v>127</v>
      </c>
      <c r="B22" s="13" t="s">
        <v>16</v>
      </c>
      <c r="C22" s="13"/>
      <c r="D22" s="12"/>
      <c r="E22" s="11" t="s">
        <v>16</v>
      </c>
      <c r="F22" s="12"/>
      <c r="G22" s="10" t="str">
        <f aca="true">IFERROR(IF(D22="","—",IF(D22&lt;TODAY(),"EXPIRÉ",IF(D22&lt;TODAY()+90,"URGENT &lt; 3 mois",IF(D22&lt;TODAY()+180,"Attention &lt; 6 mois","OK — "&amp;TEXT(D22,"MM/YYYY"))))),"—")</f>
        <v>—</v>
      </c>
      <c r="H22" s="13"/>
    </row>
    <row r="23" customFormat="false" ht="13.5" hidden="false" customHeight="true" outlineLevel="0" collapsed="false">
      <c r="A23" s="33" t="s">
        <v>128</v>
      </c>
      <c r="B23" s="13" t="s">
        <v>16</v>
      </c>
      <c r="C23" s="13"/>
      <c r="D23" s="12"/>
      <c r="E23" s="11" t="s">
        <v>16</v>
      </c>
      <c r="F23" s="12"/>
      <c r="G23" s="10" t="str">
        <f aca="true">IFERROR(IF(D23="","—",IF(D23&lt;TODAY(),"EXPIRÉ",IF(D23&lt;TODAY()+90,"URGENT &lt; 3 mois",IF(D23&lt;TODAY()+180,"Attention &lt; 6 mois","OK — "&amp;TEXT(D23,"MM/YYYY"))))),"—")</f>
        <v>—</v>
      </c>
      <c r="H23" s="13"/>
    </row>
    <row r="24" customFormat="false" ht="13.5" hidden="false" customHeight="true" outlineLevel="0" collapsed="false">
      <c r="A24" s="33" t="s">
        <v>129</v>
      </c>
      <c r="B24" s="13" t="s">
        <v>16</v>
      </c>
      <c r="C24" s="13"/>
      <c r="D24" s="12"/>
      <c r="E24" s="11" t="s">
        <v>16</v>
      </c>
      <c r="F24" s="12"/>
      <c r="G24" s="10" t="str">
        <f aca="true">IFERROR(IF(D24="","—",IF(D24&lt;TODAY(),"EXPIRÉ",IF(D24&lt;TODAY()+90,"URGENT &lt; 3 mois",IF(D24&lt;TODAY()+180,"Attention &lt; 6 mois","OK — "&amp;TEXT(D24,"MM/YYYY"))))),"—")</f>
        <v>—</v>
      </c>
      <c r="H24" s="13"/>
    </row>
    <row r="25" customFormat="false" ht="15.75" hidden="false" customHeight="true" outlineLevel="0" collapsed="false">
      <c r="A25" s="37" t="s">
        <v>130</v>
      </c>
      <c r="B25" s="37"/>
      <c r="C25" s="37"/>
      <c r="D25" s="37"/>
      <c r="E25" s="37"/>
      <c r="F25" s="37"/>
      <c r="G25" s="37"/>
      <c r="H25" s="37"/>
    </row>
    <row r="26" customFormat="false" ht="13.5" hidden="false" customHeight="true" outlineLevel="0" collapsed="false">
      <c r="A26" s="33" t="s">
        <v>131</v>
      </c>
      <c r="B26" s="13" t="s">
        <v>16</v>
      </c>
      <c r="C26" s="13"/>
      <c r="D26" s="12"/>
      <c r="E26" s="11" t="s">
        <v>16</v>
      </c>
      <c r="F26" s="12"/>
      <c r="G26" s="10" t="str">
        <f aca="true">IFERROR(IF(D26="","—",IF(D26&lt;TODAY(),"EXPIRÉ",IF(D26&lt;TODAY()+90,"URGENT &lt; 3 mois",IF(D26&lt;TODAY()+180,"Attention &lt; 6 mois","OK — "&amp;TEXT(D26,"MM/YYYY"))))),"—")</f>
        <v>—</v>
      </c>
      <c r="H26" s="13"/>
    </row>
    <row r="27" customFormat="false" ht="13.5" hidden="false" customHeight="true" outlineLevel="0" collapsed="false">
      <c r="A27" s="33" t="s">
        <v>132</v>
      </c>
      <c r="B27" s="13" t="s">
        <v>16</v>
      </c>
      <c r="C27" s="13"/>
      <c r="D27" s="12"/>
      <c r="E27" s="11" t="s">
        <v>16</v>
      </c>
      <c r="F27" s="12"/>
      <c r="G27" s="10" t="str">
        <f aca="true">IFERROR(IF(D27="","—",IF(D27&lt;TODAY(),"EXPIRÉ",IF(D27&lt;TODAY()+90,"URGENT &lt; 3 mois",IF(D27&lt;TODAY()+180,"Attention &lt; 6 mois","OK — "&amp;TEXT(D27,"MM/YYYY"))))),"—")</f>
        <v>—</v>
      </c>
      <c r="H27" s="13"/>
    </row>
    <row r="28" customFormat="false" ht="13.5" hidden="false" customHeight="true" outlineLevel="0" collapsed="false">
      <c r="A28" s="33" t="s">
        <v>133</v>
      </c>
      <c r="B28" s="13" t="s">
        <v>16</v>
      </c>
      <c r="C28" s="13"/>
      <c r="D28" s="12"/>
      <c r="E28" s="11" t="s">
        <v>16</v>
      </c>
      <c r="F28" s="12"/>
      <c r="G28" s="10" t="str">
        <f aca="true">IFERROR(IF(D28="","—",IF(D28&lt;TODAY(),"EXPIRÉ",IF(D28&lt;TODAY()+90,"URGENT &lt; 3 mois",IF(D28&lt;TODAY()+180,"Attention &lt; 6 mois","OK — "&amp;TEXT(D28,"MM/YYYY"))))),"—")</f>
        <v>—</v>
      </c>
      <c r="H28" s="13"/>
    </row>
    <row r="29" customFormat="false" ht="15.75" hidden="false" customHeight="true" outlineLevel="0" collapsed="false">
      <c r="A29" s="38" t="s">
        <v>134</v>
      </c>
      <c r="B29" s="38"/>
      <c r="C29" s="38"/>
      <c r="D29" s="38"/>
      <c r="E29" s="38"/>
      <c r="F29" s="38"/>
      <c r="G29" s="38"/>
      <c r="H29" s="38"/>
    </row>
    <row r="30" customFormat="false" ht="13.5" hidden="false" customHeight="true" outlineLevel="0" collapsed="false">
      <c r="A30" s="33" t="s">
        <v>135</v>
      </c>
      <c r="B30" s="13" t="s">
        <v>16</v>
      </c>
      <c r="C30" s="13"/>
      <c r="D30" s="12"/>
      <c r="E30" s="11" t="s">
        <v>16</v>
      </c>
      <c r="F30" s="12"/>
      <c r="G30" s="10" t="str">
        <f aca="true">IFERROR(IF(D30="","—",IF(D30&lt;TODAY(),"EXPIRÉ",IF(D30&lt;TODAY()+90,"URGENT &lt; 3 mois",IF(D30&lt;TODAY()+180,"Attention &lt; 6 mois","OK — "&amp;TEXT(D30,"MM/YYYY"))))),"—")</f>
        <v>—</v>
      </c>
      <c r="H30" s="13"/>
    </row>
    <row r="31" customFormat="false" ht="13.5" hidden="false" customHeight="true" outlineLevel="0" collapsed="false">
      <c r="A31" s="33" t="s">
        <v>136</v>
      </c>
      <c r="B31" s="13" t="s">
        <v>16</v>
      </c>
      <c r="C31" s="13"/>
      <c r="D31" s="12"/>
      <c r="E31" s="11" t="s">
        <v>16</v>
      </c>
      <c r="F31" s="12"/>
      <c r="G31" s="10" t="str">
        <f aca="true">IFERROR(IF(D31="","—",IF(D31&lt;TODAY(),"EXPIRÉ",IF(D31&lt;TODAY()+90,"URGENT &lt; 3 mois",IF(D31&lt;TODAY()+180,"Attention &lt; 6 mois","OK — "&amp;TEXT(D31,"MM/YYYY"))))),"—")</f>
        <v>—</v>
      </c>
      <c r="H31" s="13"/>
    </row>
    <row r="32" customFormat="false" ht="13.5" hidden="false" customHeight="true" outlineLevel="0" collapsed="false">
      <c r="A32" s="33" t="s">
        <v>137</v>
      </c>
      <c r="B32" s="13" t="s">
        <v>16</v>
      </c>
      <c r="C32" s="13"/>
      <c r="D32" s="12"/>
      <c r="E32" s="11" t="s">
        <v>16</v>
      </c>
      <c r="F32" s="12"/>
      <c r="G32" s="10" t="str">
        <f aca="true">IFERROR(IF(D32="","—",IF(D32&lt;TODAY(),"EXPIRÉ",IF(D32&lt;TODAY()+90,"URGENT &lt; 3 mois",IF(D32&lt;TODAY()+180,"Attention &lt; 6 mois","OK — "&amp;TEXT(D32,"MM/YYYY"))))),"—")</f>
        <v>—</v>
      </c>
      <c r="H32" s="13"/>
    </row>
    <row r="33" customFormat="false" ht="15.75" hidden="false" customHeight="true" outlineLevel="0" collapsed="false">
      <c r="A33" s="39" t="s">
        <v>138</v>
      </c>
      <c r="B33" s="39"/>
      <c r="C33" s="39"/>
      <c r="D33" s="39"/>
      <c r="E33" s="39"/>
      <c r="F33" s="39"/>
      <c r="G33" s="39"/>
      <c r="H33" s="39"/>
    </row>
    <row r="34" customFormat="false" ht="13.5" hidden="false" customHeight="true" outlineLevel="0" collapsed="false">
      <c r="A34" s="33" t="s">
        <v>139</v>
      </c>
      <c r="B34" s="13" t="s">
        <v>16</v>
      </c>
      <c r="C34" s="13"/>
      <c r="D34" s="12"/>
      <c r="E34" s="11" t="s">
        <v>16</v>
      </c>
      <c r="F34" s="12"/>
      <c r="G34" s="10" t="str">
        <f aca="true">IFERROR(IF(D34="","—",IF(D34&lt;TODAY(),"EXPIRÉ",IF(D34&lt;TODAY()+90,"URGENT &lt; 3 mois",IF(D34&lt;TODAY()+180,"Attention &lt; 6 mois","OK — "&amp;TEXT(D34,"MM/YYYY"))))),"—")</f>
        <v>—</v>
      </c>
      <c r="H34" s="13"/>
    </row>
    <row r="35" customFormat="false" ht="13.5" hidden="false" customHeight="true" outlineLevel="0" collapsed="false">
      <c r="A35" s="33" t="s">
        <v>140</v>
      </c>
      <c r="B35" s="13" t="s">
        <v>16</v>
      </c>
      <c r="C35" s="13"/>
      <c r="D35" s="12"/>
      <c r="E35" s="11" t="s">
        <v>16</v>
      </c>
      <c r="F35" s="12"/>
      <c r="G35" s="10" t="str">
        <f aca="true">IFERROR(IF(D35="","—",IF(D35&lt;TODAY(),"EXPIRÉ",IF(D35&lt;TODAY()+90,"URGENT &lt; 3 mois",IF(D35&lt;TODAY()+180,"Attention &lt; 6 mois","OK — "&amp;TEXT(D35,"MM/YYYY"))))),"—")</f>
        <v>—</v>
      </c>
      <c r="H35" s="13"/>
    </row>
    <row r="36" customFormat="false" ht="13.5" hidden="false" customHeight="true" outlineLevel="0" collapsed="false">
      <c r="A36" s="33" t="s">
        <v>141</v>
      </c>
      <c r="B36" s="13" t="s">
        <v>16</v>
      </c>
      <c r="C36" s="13"/>
      <c r="D36" s="12"/>
      <c r="E36" s="11" t="s">
        <v>16</v>
      </c>
      <c r="F36" s="12"/>
      <c r="G36" s="10" t="str">
        <f aca="true">IFERROR(IF(D36="","—",IF(D36&lt;TODAY(),"EXPIRÉ",IF(D36&lt;TODAY()+90,"URGENT &lt; 3 mois",IF(D36&lt;TODAY()+180,"Attention &lt; 6 mois","OK — "&amp;TEXT(D36,"MM/YYYY"))))),"—")</f>
        <v>—</v>
      </c>
      <c r="H36" s="13"/>
    </row>
    <row r="37" customFormat="false" ht="13.5" hidden="false" customHeight="true" outlineLevel="0" collapsed="false">
      <c r="A37" s="33" t="s">
        <v>142</v>
      </c>
      <c r="B37" s="13" t="s">
        <v>16</v>
      </c>
      <c r="C37" s="13"/>
      <c r="D37" s="12"/>
      <c r="E37" s="11" t="s">
        <v>16</v>
      </c>
      <c r="F37" s="12"/>
      <c r="G37" s="10" t="str">
        <f aca="true">IFERROR(IF(D37="","—",IF(D37&lt;TODAY(),"EXPIRÉ",IF(D37&lt;TODAY()+90,"URGENT &lt; 3 mois",IF(D37&lt;TODAY()+180,"Attention &lt; 6 mois","OK — "&amp;TEXT(D37,"MM/YYYY"))))),"—")</f>
        <v>—</v>
      </c>
      <c r="H37" s="13"/>
    </row>
    <row r="38" customFormat="false" ht="13.5" hidden="false" customHeight="true" outlineLevel="0" collapsed="false">
      <c r="A38" s="33" t="s">
        <v>143</v>
      </c>
      <c r="B38" s="13" t="s">
        <v>16</v>
      </c>
      <c r="C38" s="13"/>
      <c r="D38" s="12"/>
      <c r="E38" s="11" t="s">
        <v>16</v>
      </c>
      <c r="F38" s="12"/>
      <c r="G38" s="10" t="str">
        <f aca="true">IFERROR(IF(D38="","—",IF(D38&lt;TODAY(),"EXPIRÉ",IF(D38&lt;TODAY()+90,"URGENT &lt; 3 mois",IF(D38&lt;TODAY()+180,"Attention &lt; 6 mois","OK — "&amp;TEXT(D38,"MM/YYYY"))))),"—")</f>
        <v>—</v>
      </c>
      <c r="H38" s="13"/>
    </row>
    <row r="40" customFormat="false" ht="19.5" hidden="false" customHeight="true" outlineLevel="0" collapsed="false">
      <c r="A40" s="6" t="s">
        <v>144</v>
      </c>
      <c r="B40" s="6"/>
      <c r="C40" s="6"/>
      <c r="D40" s="6"/>
      <c r="E40" s="6"/>
      <c r="F40" s="6"/>
      <c r="G40" s="6"/>
      <c r="H40" s="6"/>
    </row>
    <row r="41" customFormat="false" ht="13.5" hidden="false" customHeight="true" outlineLevel="0" collapsed="false">
      <c r="A41" s="2" t="s">
        <v>145</v>
      </c>
      <c r="B41" s="2"/>
      <c r="C41" s="2"/>
      <c r="D41" s="2"/>
      <c r="E41" s="2"/>
      <c r="F41" s="2"/>
      <c r="G41" s="2"/>
      <c r="H41" s="2"/>
    </row>
    <row r="42" customFormat="false" ht="24" hidden="false" customHeight="true" outlineLevel="0" collapsed="false">
      <c r="A42" s="7" t="s">
        <v>146</v>
      </c>
      <c r="B42" s="7" t="s">
        <v>147</v>
      </c>
      <c r="C42" s="7" t="s">
        <v>148</v>
      </c>
      <c r="D42" s="7" t="s">
        <v>149</v>
      </c>
      <c r="E42" s="7" t="s">
        <v>150</v>
      </c>
      <c r="F42" s="40" t="s">
        <v>14</v>
      </c>
      <c r="G42" s="40"/>
      <c r="H42" s="40"/>
    </row>
    <row r="43" customFormat="false" ht="13.5" hidden="false" customHeight="true" outlineLevel="0" collapsed="false">
      <c r="A43" s="41" t="s">
        <v>54</v>
      </c>
      <c r="B43" s="8" t="n">
        <f aca="false">IDENTITE!B4</f>
        <v>0</v>
      </c>
      <c r="C43" s="13"/>
      <c r="D43" s="10" t="str">
        <f aca="false">IF(C43="","?",IF(C43=B43,"OK","ÉCART"))</f>
        <v>?</v>
      </c>
      <c r="E43" s="12"/>
      <c r="F43" s="42"/>
      <c r="G43" s="42"/>
      <c r="H43" s="42"/>
    </row>
    <row r="44" customFormat="false" ht="13.5" hidden="false" customHeight="true" outlineLevel="0" collapsed="false">
      <c r="A44" s="41" t="s">
        <v>151</v>
      </c>
      <c r="B44" s="8" t="str">
        <f aca="false">IDENTITE!B7</f>
        <v>SAS — Société par Actions Simplifiée (OHADA)</v>
      </c>
      <c r="C44" s="13"/>
      <c r="D44" s="10" t="str">
        <f aca="false">IF(C44="","?",IF(C44=B44,"OK","ÉCART"))</f>
        <v>?</v>
      </c>
      <c r="E44" s="12"/>
      <c r="F44" s="42"/>
      <c r="G44" s="42"/>
      <c r="H44" s="42"/>
    </row>
    <row r="45" customFormat="false" ht="13.5" hidden="false" customHeight="true" outlineLevel="0" collapsed="false">
      <c r="A45" s="41" t="s">
        <v>152</v>
      </c>
      <c r="B45" s="8" t="n">
        <f aca="false">IDENTITE!B10</f>
        <v>0</v>
      </c>
      <c r="C45" s="13"/>
      <c r="D45" s="10" t="str">
        <f aca="false">IF(C45="","?",IF(C45=B45,"OK","ÉCART"))</f>
        <v>?</v>
      </c>
      <c r="E45" s="12"/>
      <c r="F45" s="42"/>
      <c r="G45" s="42"/>
      <c r="H45" s="42"/>
    </row>
    <row r="46" customFormat="false" ht="13.5" hidden="false" customHeight="true" outlineLevel="0" collapsed="false">
      <c r="A46" s="41" t="s">
        <v>153</v>
      </c>
      <c r="B46" s="8" t="n">
        <f aca="false">IDENTITE!B9</f>
        <v>0</v>
      </c>
      <c r="C46" s="13"/>
      <c r="D46" s="10" t="str">
        <f aca="false">IF(C46="","?",IF(C46=B46,"OK","ÉCART"))</f>
        <v>?</v>
      </c>
      <c r="E46" s="12"/>
      <c r="F46" s="42"/>
      <c r="G46" s="42"/>
      <c r="H46" s="42"/>
    </row>
    <row r="47" customFormat="false" ht="13.5" hidden="false" customHeight="true" outlineLevel="0" collapsed="false">
      <c r="A47" s="41" t="s">
        <v>154</v>
      </c>
      <c r="B47" s="8" t="n">
        <f aca="false">IDENTITE!B6</f>
        <v>0</v>
      </c>
      <c r="C47" s="13"/>
      <c r="D47" s="10" t="str">
        <f aca="false">IF(C47="","?",IF(C47=B47,"OK","ÉCART"))</f>
        <v>?</v>
      </c>
      <c r="E47" s="12"/>
      <c r="F47" s="42"/>
      <c r="G47" s="42"/>
      <c r="H47" s="42"/>
    </row>
    <row r="48" customFormat="false" ht="13.5" hidden="false" customHeight="true" outlineLevel="0" collapsed="false">
      <c r="A48" s="41" t="s">
        <v>155</v>
      </c>
      <c r="B48" s="8" t="str">
        <f aca="false">IDENTITE!B7</f>
        <v>SAS — Société par Actions Simplifiée (OHADA)</v>
      </c>
      <c r="C48" s="13"/>
      <c r="D48" s="10" t="str">
        <f aca="false">IF(C48="","?",IF(C48=B48,"OK","ÉCART"))</f>
        <v>?</v>
      </c>
      <c r="E48" s="12"/>
      <c r="F48" s="42"/>
      <c r="G48" s="42"/>
      <c r="H48" s="42"/>
    </row>
  </sheetData>
  <mergeCells count="20">
    <mergeCell ref="A1:H1"/>
    <mergeCell ref="A2:H2"/>
    <mergeCell ref="A3:H3"/>
    <mergeCell ref="A5:H5"/>
    <mergeCell ref="A9:H9"/>
    <mergeCell ref="A12:H12"/>
    <mergeCell ref="A16:H16"/>
    <mergeCell ref="A21:H21"/>
    <mergeCell ref="A25:H25"/>
    <mergeCell ref="A29:H29"/>
    <mergeCell ref="A33:H33"/>
    <mergeCell ref="A40:H40"/>
    <mergeCell ref="A41:H41"/>
    <mergeCell ref="F42:H42"/>
    <mergeCell ref="F43:H43"/>
    <mergeCell ref="F44:H44"/>
    <mergeCell ref="F45:H45"/>
    <mergeCell ref="F46:H46"/>
    <mergeCell ref="F47:H47"/>
    <mergeCell ref="F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3" t="s">
        <v>157</v>
      </c>
      <c r="B2" s="3"/>
      <c r="C2" s="3"/>
      <c r="D2" s="3"/>
      <c r="E2" s="3"/>
      <c r="F2" s="3"/>
      <c r="G2" s="3"/>
    </row>
    <row r="4" customFormat="false" ht="19.5" hidden="false" customHeight="true" outlineLevel="0" collapsed="false">
      <c r="A4" s="3" t="s">
        <v>158</v>
      </c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43" t="s">
        <v>159</v>
      </c>
      <c r="B5" s="43" t="s">
        <v>160</v>
      </c>
      <c r="C5" s="43" t="s">
        <v>161</v>
      </c>
      <c r="D5" s="43" t="s">
        <v>162</v>
      </c>
      <c r="E5" s="43" t="s">
        <v>163</v>
      </c>
      <c r="F5" s="43" t="s">
        <v>164</v>
      </c>
      <c r="G5" s="43" t="s">
        <v>33</v>
      </c>
    </row>
    <row r="6" customFormat="false" ht="13.5" hidden="false" customHeight="true" outlineLevel="0" collapsed="false">
      <c r="A6" s="21" t="s">
        <v>165</v>
      </c>
      <c r="B6" s="44" t="s">
        <v>166</v>
      </c>
      <c r="C6" s="30" t="n">
        <v>0.14</v>
      </c>
      <c r="D6" s="30" t="n">
        <v>0.084</v>
      </c>
      <c r="E6" s="30" t="n">
        <v>0.056</v>
      </c>
      <c r="F6" s="45" t="s">
        <v>167</v>
      </c>
      <c r="G6" s="46" t="s">
        <v>168</v>
      </c>
    </row>
    <row r="7" customFormat="false" ht="13.5" hidden="false" customHeight="true" outlineLevel="0" collapsed="false">
      <c r="A7" s="21" t="s">
        <v>169</v>
      </c>
      <c r="B7" s="44" t="s">
        <v>170</v>
      </c>
      <c r="C7" s="30" t="n">
        <v>0.06</v>
      </c>
      <c r="D7" s="30" t="n">
        <v>0.036</v>
      </c>
      <c r="E7" s="30" t="n">
        <v>0.024</v>
      </c>
      <c r="F7" s="45" t="s">
        <v>171</v>
      </c>
      <c r="G7" s="46" t="s">
        <v>172</v>
      </c>
    </row>
    <row r="8" customFormat="false" ht="13.5" hidden="false" customHeight="true" outlineLevel="0" collapsed="false">
      <c r="A8" s="21" t="s">
        <v>173</v>
      </c>
      <c r="B8" s="44" t="s">
        <v>174</v>
      </c>
      <c r="C8" s="30" t="n">
        <v>0.07</v>
      </c>
      <c r="D8" s="30" t="n">
        <v>0.07</v>
      </c>
      <c r="E8" s="47" t="n">
        <v>0</v>
      </c>
      <c r="F8" s="45" t="s">
        <v>167</v>
      </c>
      <c r="G8" s="46" t="s">
        <v>175</v>
      </c>
    </row>
    <row r="9" customFormat="false" ht="13.5" hidden="false" customHeight="true" outlineLevel="0" collapsed="false">
      <c r="A9" s="21" t="s">
        <v>176</v>
      </c>
      <c r="B9" s="44" t="s">
        <v>174</v>
      </c>
      <c r="C9" s="30" t="n">
        <v>0.03</v>
      </c>
      <c r="D9" s="30" t="n">
        <v>0.03</v>
      </c>
      <c r="E9" s="47" t="n">
        <v>0</v>
      </c>
      <c r="F9" s="45" t="s">
        <v>167</v>
      </c>
      <c r="G9" s="46" t="s">
        <v>177</v>
      </c>
    </row>
    <row r="10" customFormat="false" ht="13.5" hidden="false" customHeight="true" outlineLevel="0" collapsed="false">
      <c r="A10" s="21" t="s">
        <v>178</v>
      </c>
      <c r="B10" s="44" t="s">
        <v>179</v>
      </c>
      <c r="C10" s="47" t="s">
        <v>180</v>
      </c>
      <c r="D10" s="47" t="s">
        <v>180</v>
      </c>
      <c r="E10" s="47" t="s">
        <v>180</v>
      </c>
      <c r="F10" s="45" t="s">
        <v>167</v>
      </c>
      <c r="G10" s="46" t="s">
        <v>181</v>
      </c>
    </row>
    <row r="12" customFormat="false" ht="19.5" hidden="false" customHeight="true" outlineLevel="0" collapsed="false">
      <c r="A12" s="19" t="s">
        <v>182</v>
      </c>
      <c r="B12" s="19"/>
      <c r="C12" s="19"/>
      <c r="D12" s="19"/>
      <c r="E12" s="19"/>
      <c r="F12" s="19"/>
      <c r="G12" s="19"/>
    </row>
    <row r="13" customFormat="false" ht="24" hidden="false" customHeight="true" outlineLevel="0" collapsed="false">
      <c r="A13" s="7" t="s">
        <v>183</v>
      </c>
      <c r="B13" s="7" t="s">
        <v>184</v>
      </c>
      <c r="C13" s="28" t="s">
        <v>185</v>
      </c>
      <c r="D13" s="28" t="s">
        <v>186</v>
      </c>
      <c r="E13" s="28" t="s">
        <v>187</v>
      </c>
      <c r="F13" s="7" t="s">
        <v>188</v>
      </c>
      <c r="G13" s="43" t="s">
        <v>189</v>
      </c>
    </row>
    <row r="14" customFormat="false" ht="13.5" hidden="false" customHeight="true" outlineLevel="0" collapsed="false">
      <c r="A14" s="41" t="s">
        <v>190</v>
      </c>
      <c r="B14" s="13" t="s">
        <v>191</v>
      </c>
      <c r="C14" s="48"/>
      <c r="D14" s="48"/>
      <c r="E14" s="48"/>
      <c r="F14" s="49"/>
      <c r="G14" s="50" t="s">
        <v>192</v>
      </c>
    </row>
    <row r="15" customFormat="false" ht="13.5" hidden="false" customHeight="true" outlineLevel="0" collapsed="false">
      <c r="A15" s="41" t="s">
        <v>193</v>
      </c>
      <c r="B15" s="13" t="s">
        <v>191</v>
      </c>
      <c r="C15" s="48"/>
      <c r="D15" s="48"/>
      <c r="E15" s="48"/>
      <c r="F15" s="49"/>
      <c r="G15" s="50" t="s">
        <v>192</v>
      </c>
    </row>
    <row r="16" customFormat="false" ht="13.5" hidden="false" customHeight="true" outlineLevel="0" collapsed="false">
      <c r="A16" s="41" t="s">
        <v>194</v>
      </c>
      <c r="B16" s="13" t="s">
        <v>191</v>
      </c>
      <c r="C16" s="48"/>
      <c r="D16" s="48"/>
      <c r="E16" s="48"/>
      <c r="F16" s="49"/>
      <c r="G16" s="50" t="s">
        <v>192</v>
      </c>
    </row>
    <row r="17" customFormat="false" ht="13.5" hidden="false" customHeight="true" outlineLevel="0" collapsed="false">
      <c r="A17" s="41" t="s">
        <v>195</v>
      </c>
      <c r="B17" s="13" t="s">
        <v>191</v>
      </c>
      <c r="C17" s="48"/>
      <c r="D17" s="48"/>
      <c r="E17" s="48"/>
      <c r="F17" s="49"/>
      <c r="G17" s="50" t="s">
        <v>192</v>
      </c>
    </row>
    <row r="18" customFormat="false" ht="13.5" hidden="false" customHeight="true" outlineLevel="0" collapsed="false">
      <c r="A18" s="41" t="s">
        <v>196</v>
      </c>
      <c r="B18" s="13" t="s">
        <v>191</v>
      </c>
      <c r="C18" s="48"/>
      <c r="D18" s="48"/>
      <c r="E18" s="48"/>
      <c r="F18" s="49"/>
      <c r="G18" s="50" t="s">
        <v>192</v>
      </c>
    </row>
    <row r="19" customFormat="false" ht="13.5" hidden="false" customHeight="true" outlineLevel="0" collapsed="false">
      <c r="A19" s="41" t="s">
        <v>197</v>
      </c>
      <c r="B19" s="13" t="s">
        <v>191</v>
      </c>
      <c r="C19" s="48"/>
      <c r="D19" s="48"/>
      <c r="E19" s="48"/>
      <c r="F19" s="49"/>
      <c r="G19" s="50" t="s">
        <v>192</v>
      </c>
    </row>
    <row r="20" customFormat="false" ht="13.5" hidden="false" customHeight="true" outlineLevel="0" collapsed="false">
      <c r="A20" s="41" t="s">
        <v>198</v>
      </c>
      <c r="B20" s="13" t="s">
        <v>191</v>
      </c>
      <c r="C20" s="48"/>
      <c r="D20" s="48"/>
      <c r="E20" s="48"/>
      <c r="F20" s="49"/>
      <c r="G20" s="50" t="s">
        <v>192</v>
      </c>
    </row>
    <row r="21" customFormat="false" ht="13.5" hidden="false" customHeight="true" outlineLevel="0" collapsed="false">
      <c r="A21" s="41" t="s">
        <v>199</v>
      </c>
      <c r="B21" s="13" t="s">
        <v>191</v>
      </c>
      <c r="C21" s="48"/>
      <c r="D21" s="48"/>
      <c r="E21" s="48"/>
      <c r="F21" s="49"/>
      <c r="G21" s="50" t="s">
        <v>192</v>
      </c>
    </row>
    <row r="22" customFormat="false" ht="15.75" hidden="false" customHeight="true" outlineLevel="0" collapsed="false">
      <c r="A22" s="51" t="s">
        <v>200</v>
      </c>
      <c r="C22" s="52" t="n">
        <f aca="false">SUM(C14:C21)</f>
        <v>0</v>
      </c>
      <c r="D22" s="52" t="n">
        <f aca="false">SUM(D14:D21)</f>
        <v>0</v>
      </c>
      <c r="E22" s="52" t="n">
        <f aca="false">SUM(E14:E21)</f>
        <v>0</v>
      </c>
    </row>
    <row r="24" customFormat="false" ht="19.5" hidden="false" customHeight="true" outlineLevel="0" collapsed="false">
      <c r="A24" s="3" t="s">
        <v>201</v>
      </c>
      <c r="B24" s="3"/>
      <c r="C24" s="3"/>
      <c r="D24" s="3"/>
      <c r="E24" s="3"/>
      <c r="F24" s="3"/>
      <c r="G24" s="3"/>
    </row>
    <row r="25" customFormat="false" ht="13.5" hidden="false" customHeight="true" outlineLevel="0" collapsed="false">
      <c r="A25" s="26" t="s">
        <v>202</v>
      </c>
      <c r="B25" s="26"/>
      <c r="C25" s="26"/>
      <c r="D25" s="26"/>
      <c r="E25" s="26"/>
      <c r="F25" s="26"/>
      <c r="G25" s="26"/>
    </row>
    <row r="26" customFormat="false" ht="24" hidden="false" customHeight="true" outlineLevel="0" collapsed="false">
      <c r="A26" s="43" t="s">
        <v>203</v>
      </c>
      <c r="B26" s="43" t="s">
        <v>204</v>
      </c>
      <c r="C26" s="43" t="s">
        <v>205</v>
      </c>
      <c r="D26" s="43" t="s">
        <v>206</v>
      </c>
      <c r="E26" s="43" t="s">
        <v>207</v>
      </c>
      <c r="F26" s="43" t="s">
        <v>208</v>
      </c>
      <c r="G26" s="43" t="s">
        <v>209</v>
      </c>
    </row>
    <row r="27" customFormat="false" ht="13.5" hidden="false" customHeight="true" outlineLevel="0" collapsed="false">
      <c r="A27" s="13"/>
      <c r="B27" s="13" t="s">
        <v>210</v>
      </c>
      <c r="C27" s="53"/>
      <c r="D27" s="54"/>
      <c r="E27" s="55" t="n">
        <f aca="false">IF(C27*D27=0,0,C27*D27)</f>
        <v>0</v>
      </c>
      <c r="F27" s="56" t="n">
        <f aca="false">E27*0.184</f>
        <v>0</v>
      </c>
      <c r="G27" s="57" t="n">
        <f aca="false">E27+F27</f>
        <v>0</v>
      </c>
    </row>
    <row r="28" customFormat="false" ht="13.5" hidden="false" customHeight="true" outlineLevel="0" collapsed="false">
      <c r="A28" s="13"/>
      <c r="B28" s="13" t="s">
        <v>210</v>
      </c>
      <c r="C28" s="53"/>
      <c r="D28" s="54"/>
      <c r="E28" s="55" t="n">
        <f aca="false">IF(C28*D28=0,0,C28*D28)</f>
        <v>0</v>
      </c>
      <c r="F28" s="56" t="n">
        <f aca="false">E28*0.184</f>
        <v>0</v>
      </c>
      <c r="G28" s="57" t="n">
        <f aca="false">E28+F28</f>
        <v>0</v>
      </c>
    </row>
    <row r="29" customFormat="false" ht="13.5" hidden="false" customHeight="true" outlineLevel="0" collapsed="false">
      <c r="A29" s="13"/>
      <c r="B29" s="13" t="s">
        <v>211</v>
      </c>
      <c r="C29" s="53"/>
      <c r="D29" s="54"/>
      <c r="E29" s="55" t="n">
        <f aca="false">IF(C29*D29=0,0,C29*D29)</f>
        <v>0</v>
      </c>
      <c r="F29" s="56" t="n">
        <f aca="false">E29*0.184</f>
        <v>0</v>
      </c>
      <c r="G29" s="57" t="n">
        <f aca="false">E29+F29</f>
        <v>0</v>
      </c>
    </row>
    <row r="30" customFormat="false" ht="13.5" hidden="false" customHeight="true" outlineLevel="0" collapsed="false">
      <c r="A30" s="13"/>
      <c r="B30" s="13" t="s">
        <v>211</v>
      </c>
      <c r="C30" s="53"/>
      <c r="D30" s="54"/>
      <c r="E30" s="55" t="n">
        <f aca="false">IF(C30*D30=0,0,C30*D30)</f>
        <v>0</v>
      </c>
      <c r="F30" s="56" t="n">
        <f aca="false">E30*0.184</f>
        <v>0</v>
      </c>
      <c r="G30" s="57" t="n">
        <f aca="false">E30+F30</f>
        <v>0</v>
      </c>
    </row>
    <row r="31" customFormat="false" ht="13.5" hidden="false" customHeight="true" outlineLevel="0" collapsed="false">
      <c r="A31" s="13"/>
      <c r="B31" s="13" t="s">
        <v>212</v>
      </c>
      <c r="C31" s="53"/>
      <c r="D31" s="54"/>
      <c r="E31" s="55" t="n">
        <f aca="false">IF(C31*D31=0,0,C31*D31)</f>
        <v>0</v>
      </c>
      <c r="F31" s="56" t="n">
        <f aca="false">E31*0.184</f>
        <v>0</v>
      </c>
      <c r="G31" s="57" t="n">
        <f aca="false">E31+F31</f>
        <v>0</v>
      </c>
    </row>
    <row r="32" customFormat="false" ht="15" hidden="false" customHeight="false" outlineLevel="0" collapsed="false">
      <c r="A32" s="58" t="s">
        <v>213</v>
      </c>
      <c r="E32" s="59" t="n">
        <f aca="false">SUM(E27:E31)</f>
        <v>0</v>
      </c>
      <c r="F32" s="59" t="n">
        <f aca="false">SUM(F27:F31)</f>
        <v>0</v>
      </c>
      <c r="G32" s="59" t="n">
        <f aca="false">SUM(G27:G31)</f>
        <v>0</v>
      </c>
    </row>
    <row r="34" customFormat="false" ht="19.5" hidden="false" customHeight="true" outlineLevel="0" collapsed="false">
      <c r="A34" s="60" t="s">
        <v>214</v>
      </c>
      <c r="B34" s="60"/>
      <c r="C34" s="60"/>
      <c r="D34" s="60"/>
      <c r="E34" s="60"/>
      <c r="F34" s="60"/>
      <c r="G34" s="60"/>
    </row>
    <row r="35" customFormat="false" ht="24" hidden="false" customHeight="true" outlineLevel="0" collapsed="false">
      <c r="A35" s="7" t="s">
        <v>215</v>
      </c>
      <c r="C35" s="28" t="s">
        <v>216</v>
      </c>
      <c r="D35" s="28" t="s">
        <v>217</v>
      </c>
      <c r="E35" s="28" t="s">
        <v>218</v>
      </c>
    </row>
    <row r="36" customFormat="false" ht="13.5" hidden="false" customHeight="true" outlineLevel="0" collapsed="false">
      <c r="A36" s="4" t="s">
        <v>219</v>
      </c>
      <c r="C36" s="61" t="n">
        <f aca="false">C22</f>
        <v>0</v>
      </c>
      <c r="D36" s="61" t="n">
        <f aca="false">D22</f>
        <v>0</v>
      </c>
      <c r="E36" s="61" t="n">
        <f aca="false">E22</f>
        <v>0</v>
      </c>
    </row>
    <row r="37" customFormat="false" ht="13.5" hidden="false" customHeight="true" outlineLevel="0" collapsed="false">
      <c r="A37" s="4" t="s">
        <v>220</v>
      </c>
      <c r="C37" s="54"/>
      <c r="D37" s="54"/>
      <c r="E37" s="54"/>
    </row>
    <row r="38" customFormat="false" ht="13.5" hidden="false" customHeight="true" outlineLevel="0" collapsed="false">
      <c r="A38" s="4" t="s">
        <v>221</v>
      </c>
      <c r="C38" s="54"/>
      <c r="D38" s="54"/>
      <c r="E38" s="54"/>
    </row>
    <row r="39" customFormat="false" ht="13.5" hidden="false" customHeight="true" outlineLevel="0" collapsed="false">
      <c r="A39" s="4" t="s">
        <v>222</v>
      </c>
      <c r="C39" s="54"/>
      <c r="D39" s="54"/>
      <c r="E39" s="54"/>
    </row>
    <row r="40" customFormat="false" ht="13.5" hidden="false" customHeight="true" outlineLevel="0" collapsed="false">
      <c r="A40" s="4" t="s">
        <v>223</v>
      </c>
      <c r="C40" s="54"/>
      <c r="D40" s="54"/>
      <c r="E40" s="54"/>
    </row>
    <row r="41" customFormat="false" ht="13.5" hidden="false" customHeight="true" outlineLevel="0" collapsed="false">
      <c r="A41" s="4" t="s">
        <v>224</v>
      </c>
      <c r="C41" s="61" t="n">
        <f aca="false">G32</f>
        <v>0</v>
      </c>
      <c r="D41" s="61" t="n">
        <f aca="false">G32</f>
        <v>0</v>
      </c>
      <c r="E41" s="61" t="n">
        <f aca="false">G32</f>
        <v>0</v>
      </c>
    </row>
    <row r="43" customFormat="false" ht="18" hidden="false" customHeight="true" outlineLevel="0" collapsed="false">
      <c r="A43" s="62" t="s">
        <v>225</v>
      </c>
      <c r="D43" s="63" t="n">
        <f aca="false">D40+G32</f>
        <v>0</v>
      </c>
    </row>
  </sheetData>
  <mergeCells count="7">
    <mergeCell ref="A1:G1"/>
    <mergeCell ref="A2:G2"/>
    <mergeCell ref="A4:G4"/>
    <mergeCell ref="A12:G12"/>
    <mergeCell ref="A24:G24"/>
    <mergeCell ref="A25:G25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5" min="3" style="0" width="18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1" t="s">
        <v>226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" t="s">
        <v>227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2" t="s">
        <v>228</v>
      </c>
      <c r="B3" s="2"/>
      <c r="C3" s="2"/>
      <c r="D3" s="2"/>
      <c r="E3" s="2"/>
      <c r="F3" s="2"/>
    </row>
    <row r="4" customFormat="false" ht="24" hidden="false" customHeight="true" outlineLevel="0" collapsed="false">
      <c r="A4" s="27" t="s">
        <v>229</v>
      </c>
      <c r="C4" s="28" t="s">
        <v>28</v>
      </c>
      <c r="D4" s="28" t="s">
        <v>230</v>
      </c>
      <c r="E4" s="28" t="s">
        <v>231</v>
      </c>
      <c r="F4" s="7" t="s">
        <v>33</v>
      </c>
    </row>
    <row r="5" customFormat="false" ht="12.75" hidden="false" customHeight="true" outlineLevel="0" collapsed="false">
      <c r="A5" s="64" t="s">
        <v>232</v>
      </c>
    </row>
    <row r="6" customFormat="false" ht="12.75" hidden="false" customHeight="true" outlineLevel="0" collapsed="false">
      <c r="A6" s="65" t="s">
        <v>233</v>
      </c>
      <c r="C6" s="54"/>
      <c r="D6" s="54"/>
      <c r="E6" s="54"/>
      <c r="F6" s="13"/>
    </row>
    <row r="7" customFormat="false" ht="12.75" hidden="false" customHeight="true" outlineLevel="0" collapsed="false">
      <c r="A7" s="64" t="s">
        <v>234</v>
      </c>
    </row>
    <row r="8" customFormat="false" ht="12.75" hidden="false" customHeight="true" outlineLevel="0" collapsed="false">
      <c r="A8" s="65" t="s">
        <v>235</v>
      </c>
      <c r="C8" s="54"/>
      <c r="D8" s="54"/>
      <c r="E8" s="54"/>
      <c r="F8" s="13"/>
    </row>
    <row r="9" customFormat="false" ht="12.75" hidden="false" customHeight="true" outlineLevel="0" collapsed="false">
      <c r="A9" s="65" t="s">
        <v>236</v>
      </c>
      <c r="C9" s="54"/>
      <c r="D9" s="54"/>
      <c r="E9" s="54"/>
      <c r="F9" s="13"/>
    </row>
    <row r="10" customFormat="false" ht="12.75" hidden="false" customHeight="true" outlineLevel="0" collapsed="false">
      <c r="A10" s="64" t="s">
        <v>237</v>
      </c>
    </row>
    <row r="11" customFormat="false" ht="12.75" hidden="false" customHeight="true" outlineLevel="0" collapsed="false">
      <c r="A11" s="65" t="s">
        <v>238</v>
      </c>
      <c r="C11" s="54"/>
      <c r="D11" s="54"/>
      <c r="E11" s="54"/>
      <c r="F11" s="13"/>
    </row>
    <row r="12" customFormat="false" ht="12.75" hidden="false" customHeight="true" outlineLevel="0" collapsed="false">
      <c r="A12" s="65" t="s">
        <v>239</v>
      </c>
      <c r="C12" s="54"/>
      <c r="D12" s="54"/>
      <c r="E12" s="54"/>
      <c r="F12" s="13"/>
    </row>
    <row r="13" customFormat="false" ht="12.75" hidden="false" customHeight="true" outlineLevel="0" collapsed="false">
      <c r="A13" s="65" t="s">
        <v>240</v>
      </c>
      <c r="C13" s="54"/>
      <c r="D13" s="54"/>
      <c r="E13" s="54"/>
      <c r="F13" s="13"/>
    </row>
    <row r="14" customFormat="false" ht="12.75" hidden="false" customHeight="true" outlineLevel="0" collapsed="false">
      <c r="A14" s="65" t="s">
        <v>241</v>
      </c>
      <c r="C14" s="54"/>
      <c r="D14" s="54"/>
      <c r="E14" s="54"/>
      <c r="F14" s="13"/>
    </row>
    <row r="15" customFormat="false" ht="12.75" hidden="false" customHeight="true" outlineLevel="0" collapsed="false">
      <c r="A15" s="64" t="s">
        <v>242</v>
      </c>
    </row>
    <row r="16" customFormat="false" ht="12.75" hidden="false" customHeight="true" outlineLevel="0" collapsed="false">
      <c r="A16" s="65" t="s">
        <v>243</v>
      </c>
      <c r="C16" s="54"/>
      <c r="D16" s="54"/>
      <c r="E16" s="54"/>
      <c r="F16" s="13"/>
    </row>
    <row r="17" customFormat="false" ht="12.75" hidden="false" customHeight="true" outlineLevel="0" collapsed="false">
      <c r="A17" s="65" t="s">
        <v>244</v>
      </c>
      <c r="C17" s="54"/>
      <c r="D17" s="54"/>
      <c r="E17" s="54"/>
      <c r="F17" s="13"/>
    </row>
    <row r="18" customFormat="false" ht="12.75" hidden="false" customHeight="true" outlineLevel="0" collapsed="false">
      <c r="A18" s="64" t="s">
        <v>245</v>
      </c>
    </row>
    <row r="19" customFormat="false" ht="12.75" hidden="false" customHeight="true" outlineLevel="0" collapsed="false">
      <c r="A19" s="65" t="s">
        <v>246</v>
      </c>
      <c r="C19" s="54"/>
      <c r="D19" s="54"/>
      <c r="E19" s="54"/>
      <c r="F19" s="13"/>
    </row>
    <row r="20" customFormat="false" ht="18" hidden="false" customHeight="true" outlineLevel="0" collapsed="false">
      <c r="A20" s="66" t="s">
        <v>247</v>
      </c>
      <c r="C20" s="67" t="n">
        <f aca="false">C6+C8+C9+C11+C12+C13+C14+C16+C17+C19</f>
        <v>0</v>
      </c>
      <c r="D20" s="67" t="n">
        <f aca="false">D6+D8+D9+D11+D12+D13+D14+D16+D17+D19</f>
        <v>0</v>
      </c>
      <c r="E20" s="67" t="n">
        <f aca="false">E6+E8+E9+E11+E12+E13+E14+E16+E17+E19</f>
        <v>0</v>
      </c>
    </row>
    <row r="22" customFormat="false" ht="24" hidden="false" customHeight="true" outlineLevel="0" collapsed="false">
      <c r="A22" s="24" t="s">
        <v>248</v>
      </c>
      <c r="C22" s="28" t="s">
        <v>28</v>
      </c>
      <c r="D22" s="28" t="s">
        <v>230</v>
      </c>
      <c r="E22" s="28" t="s">
        <v>231</v>
      </c>
      <c r="F22" s="7" t="s">
        <v>33</v>
      </c>
    </row>
    <row r="23" customFormat="false" ht="12.75" hidden="false" customHeight="true" outlineLevel="0" collapsed="false">
      <c r="A23" s="64" t="s">
        <v>249</v>
      </c>
    </row>
    <row r="24" customFormat="false" ht="12.75" hidden="false" customHeight="true" outlineLevel="0" collapsed="false">
      <c r="A24" s="65" t="s">
        <v>250</v>
      </c>
      <c r="C24" s="54"/>
      <c r="D24" s="54"/>
      <c r="E24" s="54"/>
      <c r="F24" s="13"/>
    </row>
    <row r="25" customFormat="false" ht="12.75" hidden="false" customHeight="true" outlineLevel="0" collapsed="false">
      <c r="A25" s="64" t="s">
        <v>251</v>
      </c>
    </row>
    <row r="26" customFormat="false" ht="12.75" hidden="false" customHeight="true" outlineLevel="0" collapsed="false">
      <c r="A26" s="65" t="s">
        <v>252</v>
      </c>
      <c r="C26" s="54"/>
      <c r="D26" s="54"/>
      <c r="E26" s="54"/>
      <c r="F26" s="13"/>
    </row>
    <row r="27" customFormat="false" ht="12.75" hidden="false" customHeight="true" outlineLevel="0" collapsed="false">
      <c r="A27" s="65" t="s">
        <v>253</v>
      </c>
      <c r="C27" s="54"/>
      <c r="D27" s="54"/>
      <c r="E27" s="54"/>
      <c r="F27" s="13"/>
    </row>
    <row r="28" customFormat="false" ht="12.75" hidden="false" customHeight="true" outlineLevel="0" collapsed="false">
      <c r="A28" s="65" t="s">
        <v>254</v>
      </c>
      <c r="C28" s="54"/>
      <c r="D28" s="54"/>
      <c r="E28" s="54"/>
      <c r="F28" s="13"/>
    </row>
    <row r="29" customFormat="false" ht="12.75" hidden="false" customHeight="true" outlineLevel="0" collapsed="false">
      <c r="A29" s="65" t="s">
        <v>255</v>
      </c>
      <c r="C29" s="54"/>
      <c r="D29" s="54"/>
      <c r="E29" s="54"/>
      <c r="F29" s="13"/>
    </row>
    <row r="30" customFormat="false" ht="12.75" hidden="false" customHeight="true" outlineLevel="0" collapsed="false">
      <c r="A30" s="65" t="s">
        <v>256</v>
      </c>
      <c r="C30" s="54"/>
      <c r="D30" s="54"/>
      <c r="E30" s="54"/>
      <c r="F30" s="13"/>
    </row>
    <row r="31" customFormat="false" ht="12.75" hidden="false" customHeight="true" outlineLevel="0" collapsed="false">
      <c r="A31" s="65" t="s">
        <v>257</v>
      </c>
      <c r="C31" s="54"/>
      <c r="D31" s="54"/>
      <c r="E31" s="54"/>
      <c r="F31" s="13"/>
    </row>
    <row r="32" customFormat="false" ht="12.75" hidden="false" customHeight="true" outlineLevel="0" collapsed="false">
      <c r="A32" s="65" t="s">
        <v>258</v>
      </c>
      <c r="C32" s="54"/>
      <c r="D32" s="54"/>
      <c r="E32" s="54"/>
      <c r="F32" s="13"/>
    </row>
    <row r="33" customFormat="false" ht="12.75" hidden="false" customHeight="true" outlineLevel="0" collapsed="false">
      <c r="A33" s="64" t="s">
        <v>259</v>
      </c>
    </row>
    <row r="34" customFormat="false" ht="12.75" hidden="false" customHeight="true" outlineLevel="0" collapsed="false">
      <c r="A34" s="65" t="s">
        <v>260</v>
      </c>
      <c r="C34" s="54"/>
      <c r="D34" s="54"/>
      <c r="E34" s="54"/>
      <c r="F34" s="13"/>
    </row>
    <row r="35" customFormat="false" ht="12.75" hidden="false" customHeight="true" outlineLevel="0" collapsed="false">
      <c r="A35" s="65" t="s">
        <v>261</v>
      </c>
      <c r="C35" s="54"/>
      <c r="D35" s="54"/>
      <c r="E35" s="54"/>
      <c r="F35" s="13"/>
    </row>
    <row r="36" customFormat="false" ht="12.75" hidden="false" customHeight="true" outlineLevel="0" collapsed="false">
      <c r="A36" s="65" t="s">
        <v>262</v>
      </c>
      <c r="C36" s="54"/>
      <c r="D36" s="54"/>
      <c r="E36" s="54"/>
      <c r="F36" s="13"/>
    </row>
    <row r="37" customFormat="false" ht="12.75" hidden="false" customHeight="true" outlineLevel="0" collapsed="false">
      <c r="A37" s="65" t="s">
        <v>263</v>
      </c>
      <c r="C37" s="54"/>
      <c r="D37" s="54"/>
      <c r="E37" s="54"/>
      <c r="F37" s="13"/>
    </row>
    <row r="38" customFormat="false" ht="12.75" hidden="false" customHeight="true" outlineLevel="0" collapsed="false">
      <c r="A38" s="64" t="s">
        <v>264</v>
      </c>
    </row>
    <row r="39" customFormat="false" ht="12.75" hidden="false" customHeight="true" outlineLevel="0" collapsed="false">
      <c r="A39" s="65" t="s">
        <v>265</v>
      </c>
      <c r="C39" s="54"/>
      <c r="D39" s="54"/>
      <c r="E39" s="54"/>
      <c r="F39" s="13"/>
    </row>
    <row r="40" customFormat="false" ht="12.75" hidden="false" customHeight="true" outlineLevel="0" collapsed="false">
      <c r="A40" s="65" t="s">
        <v>266</v>
      </c>
      <c r="C40" s="54"/>
      <c r="D40" s="54"/>
      <c r="E40" s="54"/>
      <c r="F40" s="13"/>
    </row>
    <row r="41" customFormat="false" ht="12.75" hidden="false" customHeight="true" outlineLevel="0" collapsed="false">
      <c r="A41" s="64" t="s">
        <v>267</v>
      </c>
    </row>
    <row r="42" customFormat="false" ht="12.75" hidden="false" customHeight="true" outlineLevel="0" collapsed="false">
      <c r="A42" s="65" t="s">
        <v>268</v>
      </c>
      <c r="C42" s="54"/>
      <c r="D42" s="54"/>
      <c r="E42" s="54"/>
      <c r="F42" s="13"/>
    </row>
    <row r="43" customFormat="false" ht="12.75" hidden="false" customHeight="true" outlineLevel="0" collapsed="false">
      <c r="A43" s="64" t="s">
        <v>269</v>
      </c>
    </row>
    <row r="44" customFormat="false" ht="12.75" hidden="false" customHeight="true" outlineLevel="0" collapsed="false">
      <c r="A44" s="65" t="s">
        <v>270</v>
      </c>
      <c r="C44" s="54"/>
      <c r="D44" s="54"/>
      <c r="E44" s="54"/>
      <c r="F44" s="13"/>
    </row>
    <row r="45" customFormat="false" ht="12.75" hidden="false" customHeight="true" outlineLevel="0" collapsed="false">
      <c r="A45" s="64" t="s">
        <v>271</v>
      </c>
    </row>
    <row r="46" customFormat="false" ht="12.75" hidden="false" customHeight="true" outlineLevel="0" collapsed="false">
      <c r="A46" s="65" t="s">
        <v>272</v>
      </c>
      <c r="C46" s="54"/>
      <c r="D46" s="54"/>
      <c r="E46" s="54"/>
      <c r="F46" s="13"/>
    </row>
    <row r="47" customFormat="false" ht="18" hidden="false" customHeight="true" outlineLevel="0" collapsed="false">
      <c r="A47" s="68" t="s">
        <v>273</v>
      </c>
      <c r="C47" s="69" t="n">
        <f aca="false">C24+C26+C27+C28+C29+C30+C31+C32+C34+C35+C36+C37+C39+C40+C42+C44+C46</f>
        <v>0</v>
      </c>
      <c r="D47" s="69" t="n">
        <f aca="false">D24+D26+D27+D28+D29+D30+D31+D32+D34+D35+D36+D37+D39+D40+D42+D44+D46</f>
        <v>0</v>
      </c>
      <c r="E47" s="69" t="n">
        <f aca="false">E24+E26+E27+E28+E29+E30+E31+E32+E34+E35+E36+E37+E39+E40+E42+E44+E46</f>
        <v>0</v>
      </c>
    </row>
    <row r="49" customFormat="false" ht="19.5" hidden="false" customHeight="true" outlineLevel="0" collapsed="false">
      <c r="A49" s="17" t="s">
        <v>274</v>
      </c>
      <c r="B49" s="17"/>
      <c r="C49" s="17"/>
      <c r="D49" s="17"/>
      <c r="E49" s="17"/>
      <c r="F49" s="17"/>
    </row>
    <row r="50" customFormat="false" ht="18" hidden="false" customHeight="true" outlineLevel="0" collapsed="false">
      <c r="A50" s="70" t="s">
        <v>275</v>
      </c>
      <c r="C50" s="71" t="n">
        <f aca="false">C20-C47</f>
        <v>0</v>
      </c>
      <c r="D50" s="71" t="n">
        <f aca="false">D20-D47</f>
        <v>0</v>
      </c>
      <c r="E50" s="71" t="n">
        <f aca="false">E20-E47</f>
        <v>0</v>
      </c>
    </row>
    <row r="51" customFormat="false" ht="13.5" hidden="false" customHeight="true" outlineLevel="0" collapsed="false">
      <c r="A51" s="58" t="s">
        <v>276</v>
      </c>
      <c r="C51" s="72" t="n">
        <f aca="false">MAX(C50*0.3,0)</f>
        <v>0</v>
      </c>
      <c r="D51" s="72" t="n">
        <f aca="false">MAX(D50*0.3,0)</f>
        <v>0</v>
      </c>
      <c r="E51" s="72" t="n">
        <f aca="false">MAX(E50*0.3,0)</f>
        <v>0</v>
      </c>
    </row>
    <row r="52" customFormat="false" ht="13.5" hidden="false" customHeight="true" outlineLevel="0" collapsed="false">
      <c r="A52" s="73" t="s">
        <v>277</v>
      </c>
      <c r="C52" s="74" t="str">
        <f aca="false">IF(C50&lt;0,"500 000 à 5 000 000 FCFA selon CA","-")</f>
        <v>-</v>
      </c>
      <c r="D52" s="74" t="str">
        <f aca="false">IF(D50&lt;0,"500 000 à 5 000 000 FCFA selon CA","-")</f>
        <v>-</v>
      </c>
      <c r="E52" s="74" t="str">
        <f aca="false">IF(E50&lt;0,"500 000 à 5 000 000 FCFA selon CA","-")</f>
        <v>-</v>
      </c>
    </row>
    <row r="53" customFormat="false" ht="18" hidden="false" customHeight="true" outlineLevel="0" collapsed="false">
      <c r="A53" s="75" t="s">
        <v>278</v>
      </c>
      <c r="C53" s="76" t="n">
        <f aca="false">C50-C51</f>
        <v>0</v>
      </c>
      <c r="D53" s="76" t="n">
        <f aca="false">D50-D51</f>
        <v>0</v>
      </c>
      <c r="E53" s="76" t="n">
        <f aca="false">E50-E51</f>
        <v>0</v>
      </c>
    </row>
    <row r="55" customFormat="false" ht="19.5" hidden="false" customHeight="true" outlineLevel="0" collapsed="false">
      <c r="A55" s="17" t="s">
        <v>279</v>
      </c>
      <c r="B55" s="17"/>
      <c r="C55" s="17"/>
      <c r="D55" s="17"/>
      <c r="E55" s="17"/>
      <c r="F55" s="17"/>
    </row>
    <row r="56" customFormat="false" ht="13.5" hidden="false" customHeight="true" outlineLevel="0" collapsed="false">
      <c r="A56" s="2" t="s">
        <v>280</v>
      </c>
      <c r="B56" s="2"/>
      <c r="C56" s="2"/>
      <c r="D56" s="2"/>
      <c r="E56" s="2"/>
      <c r="F56" s="2"/>
    </row>
    <row r="57" customFormat="false" ht="13.5" hidden="false" customHeight="true" outlineLevel="0" collapsed="false">
      <c r="A57" s="21" t="s">
        <v>281</v>
      </c>
      <c r="C57" s="54"/>
      <c r="D57" s="54"/>
      <c r="E57" s="54"/>
    </row>
    <row r="58" customFormat="false" ht="13.5" hidden="false" customHeight="true" outlineLevel="0" collapsed="false">
      <c r="A58" s="21" t="s">
        <v>282</v>
      </c>
      <c r="C58" s="54"/>
      <c r="D58" s="54"/>
      <c r="E58" s="54"/>
    </row>
    <row r="59" customFormat="false" ht="13.5" hidden="false" customHeight="true" outlineLevel="0" collapsed="false">
      <c r="A59" s="21" t="s">
        <v>283</v>
      </c>
      <c r="C59" s="54"/>
      <c r="D59" s="54"/>
      <c r="E59" s="54"/>
    </row>
  </sheetData>
  <mergeCells count="6">
    <mergeCell ref="A1:F1"/>
    <mergeCell ref="A2:F2"/>
    <mergeCell ref="A3:F3"/>
    <mergeCell ref="A49:F49"/>
    <mergeCell ref="A55:F55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9.5" hidden="false" customHeight="true" outlineLevel="0" collapsed="false">
      <c r="A1" s="1" t="s">
        <v>284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" t="s">
        <v>285</v>
      </c>
      <c r="B2" s="3"/>
      <c r="C2" s="3"/>
      <c r="D2" s="3"/>
      <c r="E2" s="3"/>
      <c r="F2" s="3"/>
    </row>
    <row r="4" customFormat="false" ht="24" hidden="false" customHeight="true" outlineLevel="0" collapsed="false">
      <c r="A4" s="7" t="s">
        <v>286</v>
      </c>
      <c r="B4" s="7" t="s">
        <v>287</v>
      </c>
      <c r="C4" s="7" t="s">
        <v>288</v>
      </c>
      <c r="D4" s="7" t="s">
        <v>289</v>
      </c>
      <c r="E4" s="7" t="s">
        <v>290</v>
      </c>
      <c r="F4" s="7" t="s">
        <v>291</v>
      </c>
    </row>
    <row r="5" customFormat="false" ht="15.75" hidden="false" customHeight="true" outlineLevel="0" collapsed="false">
      <c r="A5" s="77" t="s">
        <v>292</v>
      </c>
      <c r="B5" s="77"/>
      <c r="C5" s="77"/>
      <c r="D5" s="77"/>
      <c r="E5" s="77"/>
      <c r="F5" s="77"/>
    </row>
    <row r="6" customFormat="false" ht="13.5" hidden="false" customHeight="true" outlineLevel="0" collapsed="false">
      <c r="A6" s="33" t="s">
        <v>293</v>
      </c>
      <c r="B6" s="78" t="s">
        <v>294</v>
      </c>
      <c r="C6" s="79" t="s">
        <v>295</v>
      </c>
      <c r="D6" s="11" t="s">
        <v>192</v>
      </c>
      <c r="E6" s="12"/>
      <c r="F6" s="80" t="s">
        <v>296</v>
      </c>
    </row>
    <row r="7" customFormat="false" ht="13.5" hidden="false" customHeight="true" outlineLevel="0" collapsed="false">
      <c r="A7" s="33" t="s">
        <v>297</v>
      </c>
      <c r="B7" s="78" t="s">
        <v>294</v>
      </c>
      <c r="C7" s="79" t="s">
        <v>295</v>
      </c>
      <c r="D7" s="11" t="s">
        <v>192</v>
      </c>
      <c r="E7" s="12"/>
      <c r="F7" s="80" t="s">
        <v>298</v>
      </c>
    </row>
    <row r="8" customFormat="false" ht="13.5" hidden="false" customHeight="true" outlineLevel="0" collapsed="false">
      <c r="A8" s="33" t="s">
        <v>299</v>
      </c>
      <c r="B8" s="78" t="s">
        <v>294</v>
      </c>
      <c r="C8" s="79" t="s">
        <v>295</v>
      </c>
      <c r="D8" s="11" t="s">
        <v>192</v>
      </c>
      <c r="E8" s="12"/>
      <c r="F8" s="80" t="s">
        <v>300</v>
      </c>
    </row>
    <row r="9" customFormat="false" ht="13.5" hidden="false" customHeight="true" outlineLevel="0" collapsed="false">
      <c r="A9" s="33" t="s">
        <v>301</v>
      </c>
      <c r="B9" s="78" t="s">
        <v>294</v>
      </c>
      <c r="C9" s="79" t="s">
        <v>295</v>
      </c>
      <c r="D9" s="11" t="s">
        <v>192</v>
      </c>
      <c r="E9" s="12"/>
      <c r="F9" s="80" t="s">
        <v>302</v>
      </c>
    </row>
    <row r="10" customFormat="false" ht="13.5" hidden="false" customHeight="true" outlineLevel="0" collapsed="false">
      <c r="A10" s="33" t="s">
        <v>303</v>
      </c>
      <c r="B10" s="78" t="s">
        <v>294</v>
      </c>
      <c r="C10" s="79" t="s">
        <v>295</v>
      </c>
      <c r="D10" s="11" t="s">
        <v>192</v>
      </c>
      <c r="E10" s="12"/>
      <c r="F10" s="80" t="s">
        <v>304</v>
      </c>
    </row>
    <row r="11" customFormat="false" ht="13.5" hidden="false" customHeight="true" outlineLevel="0" collapsed="false">
      <c r="A11" s="33" t="s">
        <v>62</v>
      </c>
      <c r="B11" s="81" t="s">
        <v>305</v>
      </c>
      <c r="C11" s="79" t="s">
        <v>295</v>
      </c>
      <c r="D11" s="11" t="s">
        <v>192</v>
      </c>
      <c r="E11" s="12"/>
      <c r="F11" s="80" t="s">
        <v>306</v>
      </c>
    </row>
    <row r="12" customFormat="false" ht="15.75" hidden="false" customHeight="true" outlineLevel="0" collapsed="false">
      <c r="A12" s="82" t="s">
        <v>307</v>
      </c>
      <c r="B12" s="82"/>
      <c r="C12" s="82"/>
      <c r="D12" s="82"/>
      <c r="E12" s="82"/>
      <c r="F12" s="82"/>
    </row>
    <row r="13" customFormat="false" ht="13.5" hidden="false" customHeight="true" outlineLevel="0" collapsed="false">
      <c r="A13" s="33" t="s">
        <v>308</v>
      </c>
      <c r="B13" s="78" t="s">
        <v>294</v>
      </c>
      <c r="C13" s="79" t="s">
        <v>295</v>
      </c>
      <c r="D13" s="11" t="s">
        <v>192</v>
      </c>
      <c r="E13" s="12"/>
      <c r="F13" s="80" t="s">
        <v>309</v>
      </c>
    </row>
    <row r="14" customFormat="false" ht="13.5" hidden="false" customHeight="true" outlineLevel="0" collapsed="false">
      <c r="A14" s="33" t="s">
        <v>310</v>
      </c>
      <c r="B14" s="81" t="s">
        <v>311</v>
      </c>
      <c r="C14" s="79" t="s">
        <v>295</v>
      </c>
      <c r="D14" s="11" t="s">
        <v>192</v>
      </c>
      <c r="E14" s="12"/>
      <c r="F14" s="80" t="s">
        <v>312</v>
      </c>
    </row>
    <row r="15" customFormat="false" ht="13.5" hidden="false" customHeight="true" outlineLevel="0" collapsed="false">
      <c r="A15" s="33" t="s">
        <v>313</v>
      </c>
      <c r="B15" s="78" t="s">
        <v>294</v>
      </c>
      <c r="C15" s="79" t="s">
        <v>295</v>
      </c>
      <c r="D15" s="11" t="s">
        <v>192</v>
      </c>
      <c r="E15" s="12"/>
      <c r="F15" s="80" t="s">
        <v>314</v>
      </c>
    </row>
    <row r="16" customFormat="false" ht="13.5" hidden="false" customHeight="true" outlineLevel="0" collapsed="false">
      <c r="A16" s="33" t="s">
        <v>315</v>
      </c>
      <c r="B16" s="83" t="s">
        <v>316</v>
      </c>
      <c r="C16" s="79" t="s">
        <v>295</v>
      </c>
      <c r="D16" s="11" t="s">
        <v>192</v>
      </c>
      <c r="E16" s="12"/>
      <c r="F16" s="80" t="s">
        <v>317</v>
      </c>
    </row>
    <row r="17" customFormat="false" ht="15.75" hidden="false" customHeight="true" outlineLevel="0" collapsed="false">
      <c r="A17" s="84" t="s">
        <v>318</v>
      </c>
      <c r="B17" s="84"/>
      <c r="C17" s="84"/>
      <c r="D17" s="84"/>
      <c r="E17" s="84"/>
      <c r="F17" s="84"/>
    </row>
    <row r="18" customFormat="false" ht="13.5" hidden="false" customHeight="true" outlineLevel="0" collapsed="false">
      <c r="A18" s="33" t="s">
        <v>319</v>
      </c>
      <c r="B18" s="78" t="s">
        <v>294</v>
      </c>
      <c r="C18" s="79" t="s">
        <v>320</v>
      </c>
      <c r="D18" s="11" t="s">
        <v>192</v>
      </c>
      <c r="E18" s="12"/>
      <c r="F18" s="80" t="s">
        <v>321</v>
      </c>
    </row>
    <row r="19" customFormat="false" ht="13.5" hidden="false" customHeight="true" outlineLevel="0" collapsed="false">
      <c r="A19" s="33" t="s">
        <v>322</v>
      </c>
      <c r="B19" s="78" t="s">
        <v>294</v>
      </c>
      <c r="C19" s="79" t="s">
        <v>320</v>
      </c>
      <c r="D19" s="11" t="s">
        <v>192</v>
      </c>
      <c r="E19" s="12"/>
      <c r="F19" s="80" t="s">
        <v>321</v>
      </c>
    </row>
    <row r="20" customFormat="false" ht="13.5" hidden="false" customHeight="true" outlineLevel="0" collapsed="false">
      <c r="A20" s="33" t="s">
        <v>323</v>
      </c>
      <c r="B20" s="83" t="s">
        <v>324</v>
      </c>
      <c r="C20" s="79" t="s">
        <v>320</v>
      </c>
      <c r="D20" s="11" t="s">
        <v>192</v>
      </c>
      <c r="E20" s="12"/>
      <c r="F20" s="80" t="s">
        <v>325</v>
      </c>
    </row>
    <row r="21" customFormat="false" ht="13.5" hidden="false" customHeight="true" outlineLevel="0" collapsed="false">
      <c r="A21" s="33" t="s">
        <v>326</v>
      </c>
      <c r="B21" s="78" t="s">
        <v>294</v>
      </c>
      <c r="C21" s="79" t="s">
        <v>327</v>
      </c>
      <c r="D21" s="11" t="s">
        <v>192</v>
      </c>
      <c r="E21" s="12"/>
      <c r="F21" s="80" t="s">
        <v>328</v>
      </c>
    </row>
    <row r="22" customFormat="false" ht="13.5" hidden="false" customHeight="true" outlineLevel="0" collapsed="false">
      <c r="A22" s="33" t="s">
        <v>329</v>
      </c>
      <c r="B22" s="83" t="s">
        <v>324</v>
      </c>
      <c r="C22" s="79" t="s">
        <v>295</v>
      </c>
      <c r="D22" s="11" t="s">
        <v>192</v>
      </c>
      <c r="E22" s="12"/>
      <c r="F22" s="80" t="s">
        <v>330</v>
      </c>
    </row>
    <row r="23" customFormat="false" ht="15.75" hidden="false" customHeight="true" outlineLevel="0" collapsed="false">
      <c r="A23" s="77" t="s">
        <v>331</v>
      </c>
      <c r="B23" s="77"/>
      <c r="C23" s="77"/>
      <c r="D23" s="77"/>
      <c r="E23" s="77"/>
      <c r="F23" s="77"/>
    </row>
    <row r="24" customFormat="false" ht="13.5" hidden="false" customHeight="true" outlineLevel="0" collapsed="false">
      <c r="A24" s="33" t="s">
        <v>332</v>
      </c>
      <c r="B24" s="81" t="s">
        <v>305</v>
      </c>
      <c r="C24" s="79" t="s">
        <v>295</v>
      </c>
      <c r="D24" s="11" t="s">
        <v>192</v>
      </c>
      <c r="E24" s="12"/>
      <c r="F24" s="80" t="s">
        <v>333</v>
      </c>
    </row>
    <row r="25" customFormat="false" ht="13.5" hidden="false" customHeight="true" outlineLevel="0" collapsed="false">
      <c r="A25" s="33" t="s">
        <v>334</v>
      </c>
      <c r="B25" s="81" t="s">
        <v>305</v>
      </c>
      <c r="C25" s="79" t="s">
        <v>295</v>
      </c>
      <c r="D25" s="11" t="s">
        <v>192</v>
      </c>
      <c r="E25" s="12"/>
      <c r="F25" s="80" t="s">
        <v>335</v>
      </c>
    </row>
    <row r="26" customFormat="false" ht="13.5" hidden="false" customHeight="true" outlineLevel="0" collapsed="false">
      <c r="A26" s="33" t="s">
        <v>336</v>
      </c>
      <c r="B26" s="78" t="s">
        <v>294</v>
      </c>
      <c r="C26" s="79" t="s">
        <v>337</v>
      </c>
      <c r="D26" s="11" t="s">
        <v>192</v>
      </c>
      <c r="E26" s="12"/>
      <c r="F26" s="80" t="s">
        <v>338</v>
      </c>
    </row>
    <row r="27" customFormat="false" ht="13.5" hidden="false" customHeight="true" outlineLevel="0" collapsed="false">
      <c r="A27" s="33" t="s">
        <v>339</v>
      </c>
      <c r="B27" s="81" t="s">
        <v>340</v>
      </c>
      <c r="C27" s="79" t="s">
        <v>295</v>
      </c>
      <c r="D27" s="11" t="s">
        <v>192</v>
      </c>
      <c r="E27" s="12"/>
      <c r="F27" s="80" t="s">
        <v>341</v>
      </c>
    </row>
    <row r="28" customFormat="false" ht="13.5" hidden="false" customHeight="true" outlineLevel="0" collapsed="false">
      <c r="A28" s="33" t="s">
        <v>342</v>
      </c>
      <c r="B28" s="81" t="s">
        <v>343</v>
      </c>
      <c r="C28" s="79" t="s">
        <v>344</v>
      </c>
      <c r="D28" s="11" t="s">
        <v>192</v>
      </c>
      <c r="E28" s="12"/>
      <c r="F28" s="80" t="s">
        <v>345</v>
      </c>
    </row>
    <row r="29" customFormat="false" ht="15.75" hidden="false" customHeight="true" outlineLevel="0" collapsed="false">
      <c r="A29" s="85" t="s">
        <v>346</v>
      </c>
      <c r="B29" s="85"/>
      <c r="C29" s="85"/>
      <c r="D29" s="85"/>
      <c r="E29" s="85"/>
      <c r="F29" s="85"/>
    </row>
    <row r="30" customFormat="false" ht="13.5" hidden="false" customHeight="true" outlineLevel="0" collapsed="false">
      <c r="A30" s="33" t="s">
        <v>347</v>
      </c>
      <c r="B30" s="78" t="s">
        <v>294</v>
      </c>
      <c r="C30" s="79" t="s">
        <v>295</v>
      </c>
      <c r="D30" s="11" t="s">
        <v>192</v>
      </c>
      <c r="E30" s="12"/>
      <c r="F30" s="80" t="s">
        <v>348</v>
      </c>
    </row>
    <row r="31" customFormat="false" ht="13.5" hidden="false" customHeight="true" outlineLevel="0" collapsed="false">
      <c r="A31" s="33" t="s">
        <v>349</v>
      </c>
      <c r="B31" s="78" t="s">
        <v>294</v>
      </c>
      <c r="C31" s="79" t="s">
        <v>295</v>
      </c>
      <c r="D31" s="11" t="s">
        <v>192</v>
      </c>
      <c r="E31" s="12"/>
      <c r="F31" s="80" t="s">
        <v>350</v>
      </c>
    </row>
    <row r="32" customFormat="false" ht="13.5" hidden="false" customHeight="true" outlineLevel="0" collapsed="false">
      <c r="A32" s="33" t="s">
        <v>351</v>
      </c>
      <c r="B32" s="78" t="s">
        <v>294</v>
      </c>
      <c r="C32" s="79" t="s">
        <v>327</v>
      </c>
      <c r="D32" s="11" t="s">
        <v>192</v>
      </c>
      <c r="E32" s="12"/>
      <c r="F32" s="80" t="s">
        <v>352</v>
      </c>
    </row>
    <row r="33" customFormat="false" ht="13.5" hidden="false" customHeight="true" outlineLevel="0" collapsed="false">
      <c r="A33" s="33" t="s">
        <v>353</v>
      </c>
      <c r="B33" s="78" t="s">
        <v>294</v>
      </c>
      <c r="C33" s="79" t="s">
        <v>295</v>
      </c>
      <c r="D33" s="11" t="s">
        <v>192</v>
      </c>
      <c r="E33" s="12"/>
      <c r="F33" s="80" t="s">
        <v>354</v>
      </c>
    </row>
    <row r="34" customFormat="false" ht="13.5" hidden="false" customHeight="true" outlineLevel="0" collapsed="false">
      <c r="A34" s="33" t="s">
        <v>355</v>
      </c>
      <c r="B34" s="81" t="s">
        <v>356</v>
      </c>
      <c r="C34" s="79" t="s">
        <v>295</v>
      </c>
      <c r="D34" s="11" t="s">
        <v>192</v>
      </c>
      <c r="E34" s="12"/>
      <c r="F34" s="80" t="s">
        <v>357</v>
      </c>
    </row>
    <row r="35" customFormat="false" ht="13.5" hidden="false" customHeight="true" outlineLevel="0" collapsed="false">
      <c r="A35" s="33" t="s">
        <v>358</v>
      </c>
      <c r="B35" s="81" t="s">
        <v>356</v>
      </c>
      <c r="C35" s="79" t="s">
        <v>295</v>
      </c>
      <c r="D35" s="11" t="s">
        <v>192</v>
      </c>
      <c r="E35" s="12"/>
      <c r="F35" s="80" t="s">
        <v>359</v>
      </c>
    </row>
    <row r="36" customFormat="false" ht="15.75" hidden="false" customHeight="true" outlineLevel="0" collapsed="false">
      <c r="A36" s="82" t="s">
        <v>360</v>
      </c>
      <c r="B36" s="82"/>
      <c r="C36" s="82"/>
      <c r="D36" s="82"/>
      <c r="E36" s="82"/>
      <c r="F36" s="82"/>
    </row>
    <row r="37" customFormat="false" ht="13.5" hidden="false" customHeight="true" outlineLevel="0" collapsed="false">
      <c r="A37" s="33" t="s">
        <v>361</v>
      </c>
      <c r="B37" s="83" t="s">
        <v>316</v>
      </c>
      <c r="C37" s="79" t="s">
        <v>295</v>
      </c>
      <c r="D37" s="11" t="s">
        <v>192</v>
      </c>
      <c r="E37" s="12"/>
      <c r="F37" s="80" t="s">
        <v>362</v>
      </c>
    </row>
    <row r="38" customFormat="false" ht="13.5" hidden="false" customHeight="true" outlineLevel="0" collapsed="false">
      <c r="A38" s="33" t="s">
        <v>363</v>
      </c>
      <c r="B38" s="83" t="s">
        <v>316</v>
      </c>
      <c r="C38" s="79" t="s">
        <v>295</v>
      </c>
      <c r="D38" s="11" t="s">
        <v>192</v>
      </c>
      <c r="E38" s="12"/>
      <c r="F38" s="80" t="s">
        <v>364</v>
      </c>
    </row>
    <row r="39" customFormat="false" ht="13.5" hidden="false" customHeight="true" outlineLevel="0" collapsed="false">
      <c r="A39" s="33" t="s">
        <v>365</v>
      </c>
      <c r="B39" s="83" t="s">
        <v>316</v>
      </c>
      <c r="C39" s="79" t="s">
        <v>366</v>
      </c>
      <c r="D39" s="11" t="s">
        <v>192</v>
      </c>
      <c r="E39" s="12"/>
      <c r="F39" s="80" t="s">
        <v>367</v>
      </c>
    </row>
    <row r="40" customFormat="false" ht="13.5" hidden="false" customHeight="true" outlineLevel="0" collapsed="false">
      <c r="A40" s="33" t="s">
        <v>368</v>
      </c>
      <c r="B40" s="83" t="s">
        <v>316</v>
      </c>
      <c r="C40" s="79" t="s">
        <v>295</v>
      </c>
      <c r="D40" s="11" t="s">
        <v>192</v>
      </c>
      <c r="E40" s="12"/>
      <c r="F40" s="80" t="s">
        <v>369</v>
      </c>
    </row>
    <row r="41" customFormat="false" ht="13.5" hidden="false" customHeight="true" outlineLevel="0" collapsed="false">
      <c r="A41" s="33" t="s">
        <v>370</v>
      </c>
      <c r="B41" s="83" t="s">
        <v>316</v>
      </c>
      <c r="C41" s="79" t="s">
        <v>295</v>
      </c>
      <c r="D41" s="11" t="s">
        <v>192</v>
      </c>
      <c r="E41" s="12"/>
      <c r="F41" s="80" t="s">
        <v>371</v>
      </c>
    </row>
    <row r="43" customFormat="false" ht="19.5" hidden="false" customHeight="true" outlineLevel="0" collapsed="false">
      <c r="A43" s="86" t="str">
        <f aca="false">"Complétion : "&amp;COUNTIF(D5:D42,"Oui")&amp;" / "&amp;COUNTA(D5:D42)&amp;" documents reçus ("&amp;TEXT(COUNTIF(D5:D42,"Oui")/COUNTA(D5:D42),"0%")&amp;")"</f>
        <v>Complétion : 0 / 31 documents reçus (0%)</v>
      </c>
      <c r="B43" s="86"/>
      <c r="C43" s="86"/>
      <c r="D43" s="86"/>
      <c r="E43" s="86"/>
      <c r="F43" s="86"/>
    </row>
    <row r="45" customFormat="false" ht="19.5" hidden="false" customHeight="true" outlineLevel="0" collapsed="false">
      <c r="A45" s="17" t="s">
        <v>372</v>
      </c>
      <c r="B45" s="17"/>
      <c r="C45" s="17"/>
      <c r="D45" s="17"/>
      <c r="E45" s="17"/>
      <c r="F45" s="17"/>
    </row>
    <row r="46" customFormat="false" ht="24" hidden="false" customHeight="true" outlineLevel="0" collapsed="false">
      <c r="A46" s="43" t="s">
        <v>373</v>
      </c>
      <c r="B46" s="43" t="s">
        <v>374</v>
      </c>
    </row>
    <row r="47" customFormat="false" ht="27.75" hidden="false" customHeight="true" outlineLevel="0" collapsed="false">
      <c r="A47" s="21" t="s">
        <v>56</v>
      </c>
      <c r="B47" s="87" t="s">
        <v>375</v>
      </c>
    </row>
    <row r="48" customFormat="false" ht="27.75" hidden="false" customHeight="true" outlineLevel="0" collapsed="false">
      <c r="A48" s="21" t="s">
        <v>376</v>
      </c>
      <c r="B48" s="87" t="s">
        <v>377</v>
      </c>
    </row>
    <row r="49" customFormat="false" ht="27.75" hidden="false" customHeight="true" outlineLevel="0" collapsed="false">
      <c r="A49" s="21" t="s">
        <v>378</v>
      </c>
      <c r="B49" s="87" t="s">
        <v>379</v>
      </c>
    </row>
    <row r="50" customFormat="false" ht="27.75" hidden="false" customHeight="true" outlineLevel="0" collapsed="false">
      <c r="A50" s="21" t="s">
        <v>380</v>
      </c>
      <c r="B50" s="87" t="s">
        <v>381</v>
      </c>
    </row>
    <row r="51" customFormat="false" ht="27.75" hidden="false" customHeight="true" outlineLevel="0" collapsed="false">
      <c r="A51" s="21" t="s">
        <v>382</v>
      </c>
      <c r="B51" s="87" t="s">
        <v>383</v>
      </c>
    </row>
    <row r="52" customFormat="false" ht="27.75" hidden="false" customHeight="true" outlineLevel="0" collapsed="false">
      <c r="A52" s="21" t="s">
        <v>384</v>
      </c>
      <c r="B52" s="87" t="s">
        <v>385</v>
      </c>
    </row>
    <row r="53" customFormat="false" ht="27.75" hidden="false" customHeight="true" outlineLevel="0" collapsed="false">
      <c r="A53" s="21" t="s">
        <v>386</v>
      </c>
      <c r="B53" s="87" t="s">
        <v>387</v>
      </c>
    </row>
    <row r="54" customFormat="false" ht="27.75" hidden="false" customHeight="true" outlineLevel="0" collapsed="false">
      <c r="A54" s="21" t="s">
        <v>388</v>
      </c>
      <c r="B54" s="87" t="s">
        <v>389</v>
      </c>
    </row>
    <row r="55" customFormat="false" ht="27.75" hidden="false" customHeight="true" outlineLevel="0" collapsed="false">
      <c r="A55" s="21" t="s">
        <v>337</v>
      </c>
      <c r="B55" s="87" t="s">
        <v>390</v>
      </c>
    </row>
  </sheetData>
  <mergeCells count="10">
    <mergeCell ref="A1:F1"/>
    <mergeCell ref="A2:F2"/>
    <mergeCell ref="A5:F5"/>
    <mergeCell ref="A12:F12"/>
    <mergeCell ref="A17:F17"/>
    <mergeCell ref="A23:F23"/>
    <mergeCell ref="A29:F29"/>
    <mergeCell ref="A36:F36"/>
    <mergeCell ref="A43:F43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2026-03-23T18:37:25Z</dcterms:created>
  <dc:creator>openpyxl</dc:creator>
  <dc:description/>
  <dc:language>en-US</dc:language>
  <cp:lastModifiedBy/>
  <dcterms:modified xsi:type="dcterms:W3CDTF">2026-03-23T18:37:25Z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