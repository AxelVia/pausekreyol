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DENTITE" sheetId="2" state="visible" r:id="rId4"/>
    <sheet name="CAISSES" sheetId="3" state="visible" r:id="rId5"/>
    <sheet name="RH_ASSO" sheetId="4" state="visible" r:id="rId6"/>
    <sheet name="FINANCES" sheetId="5" state="visible" r:id="rId7"/>
    <sheet name="COLLECTE_DO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<sst xmlns="http://schemas.openxmlformats.org/spreadsheetml/2006/main" count="509" uniqueCount="332">
  <si>
    <t xml:space="preserve">TABLEAU DE BORD ASSOCIATION — Vue synthétique et alertes</t>
  </si>
  <si>
    <t xml:space="preserve">Ce dashboard se met à jour automatiquement depuis les onglets. Aucune saisie ici.</t>
  </si>
  <si>
    <t xml:space="preserve">Association :</t>
  </si>
  <si>
    <t xml:space="preserve">SIRET :</t>
  </si>
  <si>
    <t xml:space="preserve">Responsable :</t>
  </si>
  <si>
    <t xml:space="preserve">ALERTES — Conformité administrative et caisses</t>
  </si>
  <si>
    <t xml:space="preserve">Organisme / Document</t>
  </si>
  <si>
    <t xml:space="preserve">N° adhérent / identifiant</t>
  </si>
  <si>
    <t xml:space="preserve">Date d'expiration / échéance</t>
  </si>
  <si>
    <t xml:space="preserve">Statut alerte</t>
  </si>
  <si>
    <t xml:space="preserve">Infos à jour ?</t>
  </si>
  <si>
    <t xml:space="preserve">Dernière vérif.</t>
  </si>
  <si>
    <t xml:space="preserve">Action requise</t>
  </si>
  <si>
    <t xml:space="preserve">Licence entrepreneur du spectacle</t>
  </si>
  <si>
    <t xml:space="preserve">Oui</t>
  </si>
  <si>
    <t xml:space="preserve">URSSAF — dernier paiement</t>
  </si>
  <si>
    <t xml:space="preserve">GUSO — compte actif</t>
  </si>
  <si>
    <t xml:space="preserve">Audiens — affiliation</t>
  </si>
  <si>
    <t xml:space="preserve">AFDAS — adhésion</t>
  </si>
  <si>
    <t xml:space="preserve">Congés Spectacles — adhésion</t>
  </si>
  <si>
    <t xml:space="preserve">Mutuelle obligatoire</t>
  </si>
  <si>
    <t xml:space="preserve">Pôle Emploi Spectacle — compte</t>
  </si>
  <si>
    <t xml:space="preserve">SYNTHÈSE MOYENS HUMAINS — N-1 / N / N+1</t>
  </si>
  <si>
    <t xml:space="preserve">Indicateur</t>
  </si>
  <si>
    <t xml:space="preserve">N-1 (réalisé)</t>
  </si>
  <si>
    <t xml:space="preserve">N (en cours)</t>
  </si>
  <si>
    <t xml:space="preserve">N+1 (projeté)</t>
  </si>
  <si>
    <t xml:space="preserve">Évolution N-1→N</t>
  </si>
  <si>
    <t xml:space="preserve">Évolution N→N+1</t>
  </si>
  <si>
    <t xml:space="preserve">Note</t>
  </si>
  <si>
    <t xml:space="preserve">ETP permanents (CDI/CDD)</t>
  </si>
  <si>
    <t xml:space="preserve">ETP bénévoles valorisés</t>
  </si>
  <si>
    <t xml:space="preserve">Masse salariale brute (€)</t>
  </si>
  <si>
    <t xml:space="preserve">Charges patronales (€)</t>
  </si>
  <si>
    <t xml:space="preserve">Coût total employeur (€)</t>
  </si>
  <si>
    <t xml:space="preserve">SYNTHÈSE FINANCIÈRE ASSOCIATION — N-1 / N / N+1</t>
  </si>
  <si>
    <t xml:space="preserve">N (prévisionnel)</t>
  </si>
  <si>
    <t xml:space="preserve">Source</t>
  </si>
  <si>
    <t xml:space="preserve">Date MAJ</t>
  </si>
  <si>
    <t xml:space="preserve">Total produits asso</t>
  </si>
  <si>
    <t xml:space="preserve">Total charges asso</t>
  </si>
  <si>
    <t xml:space="preserve">Résultat net</t>
  </si>
  <si>
    <t xml:space="preserve">Fonds propres / réserves</t>
  </si>
  <si>
    <t xml:space="preserve">Trésorerie disponible</t>
  </si>
  <si>
    <t xml:space="preserve">IDENTITÉ ASSOCIATION — Informations de référence</t>
  </si>
  <si>
    <t xml:space="preserve">Toutes les informations ici alimentent automatiquement les autres onglets et les dossiers projets</t>
  </si>
  <si>
    <t xml:space="preserve">INFORMATIONS GÉNÉRALES</t>
  </si>
  <si>
    <t xml:space="preserve">AGRÉMENTS &amp; LICENCES</t>
  </si>
  <si>
    <t xml:space="preserve">Nom officiel de l'association</t>
  </si>
  <si>
    <t xml:space="preserve">Document / agrément</t>
  </si>
  <si>
    <t xml:space="preserve">Numéro / détail</t>
  </si>
  <si>
    <t xml:space="preserve">Nom usuel / commercial</t>
  </si>
  <si>
    <t xml:space="preserve">Licence entrepreneur du spectacle — Type 1 (prod.)</t>
  </si>
  <si>
    <t xml:space="preserve">SIRET</t>
  </si>
  <si>
    <t xml:space="preserve">Licence entrepreneur du spectacle — Type 2 (prod.)</t>
  </si>
  <si>
    <t xml:space="preserve">Code APE / NAF</t>
  </si>
  <si>
    <t xml:space="preserve">Licence entrepreneur du spectacle — Type 3 (diff.)</t>
  </si>
  <si>
    <t xml:space="preserve">N° RNA</t>
  </si>
  <si>
    <t xml:space="preserve">Convention collective applicable</t>
  </si>
  <si>
    <t xml:space="preserve">CCN Spectacle vivant privé / CCN CCNEAC</t>
  </si>
  <si>
    <t xml:space="preserve">Date de création</t>
  </si>
  <si>
    <t xml:space="preserve">Code APE — Arts du spectacle</t>
  </si>
  <si>
    <t xml:space="preserve">Date de dernière AG</t>
  </si>
  <si>
    <t xml:space="preserve">Agrément jeunesse et éducation populaire</t>
  </si>
  <si>
    <t xml:space="preserve">Adresse du siège social</t>
  </si>
  <si>
    <t xml:space="preserve">Agrément formation professionnelle (QUALIOPI)</t>
  </si>
  <si>
    <t xml:space="preserve">Adresse de correspondance (si diff.)</t>
  </si>
  <si>
    <t xml:space="preserve">DATES D'EXPIRATION À SURVEILLER</t>
  </si>
  <si>
    <t xml:space="preserve">DIRECTION ET CONTACTS</t>
  </si>
  <si>
    <t xml:space="preserve">Document</t>
  </si>
  <si>
    <t xml:space="preserve">Date d'expiration</t>
  </si>
  <si>
    <t xml:space="preserve">Président(e)</t>
  </si>
  <si>
    <t xml:space="preserve">Licence spectacle Type 1</t>
  </si>
  <si>
    <t xml:space="preserve">Trésorier(e)</t>
  </si>
  <si>
    <t xml:space="preserve">Licence spectacle Type 2</t>
  </si>
  <si>
    <t xml:space="preserve">Secrétaire</t>
  </si>
  <si>
    <t xml:space="preserve">Licence spectacle Type 3</t>
  </si>
  <si>
    <t xml:space="preserve">Directeur(rice) artistique</t>
  </si>
  <si>
    <t xml:space="preserve">Agrément JEP</t>
  </si>
  <si>
    <t xml:space="preserve">Administrateur(rice) de production</t>
  </si>
  <si>
    <t xml:space="preserve">QUALIOPI</t>
  </si>
  <si>
    <t xml:space="preserve">Email de contact principal</t>
  </si>
  <si>
    <t xml:space="preserve">Contrat assurance RC pro</t>
  </si>
  <si>
    <t xml:space="preserve">Téléphone principal</t>
  </si>
  <si>
    <t xml:space="preserve">Contrat mutuelle obligatoire</t>
  </si>
  <si>
    <t xml:space="preserve">Site internet</t>
  </si>
  <si>
    <t xml:space="preserve">Réseaux sociaux principaux</t>
  </si>
  <si>
    <t xml:space="preserve">COMPTES BANCAIRES</t>
  </si>
  <si>
    <t xml:space="preserve">Banque</t>
  </si>
  <si>
    <t xml:space="preserve">IBAN</t>
  </si>
  <si>
    <t xml:space="preserve">BIC</t>
  </si>
  <si>
    <t xml:space="preserve">Usage</t>
  </si>
  <si>
    <t xml:space="preserve">Date ouverture</t>
  </si>
  <si>
    <t xml:space="preserve">Compte principal</t>
  </si>
  <si>
    <t xml:space="preserve">Opérations courantes</t>
  </si>
  <si>
    <t xml:space="preserve">Compte épargne / réserve</t>
  </si>
  <si>
    <t xml:space="preserve">Fonds propres</t>
  </si>
  <si>
    <t xml:space="preserve">Autre</t>
  </si>
  <si>
    <t xml:space="preserve">CAISSES &amp; ORGANISMES SOCIAUX — Conformité et alertes</t>
  </si>
  <si>
    <t xml:space="preserve">Renseigner chaque caisse. Les alertes se déclenchent automatiquement à 6 mois et 3 mois avant échéance.</t>
  </si>
  <si>
    <t xml:space="preserve">Organisme</t>
  </si>
  <si>
    <t xml:space="preserve">Caisse ouverte ?</t>
  </si>
  <si>
    <t xml:space="preserve">Date expiration / échéance</t>
  </si>
  <si>
    <t xml:space="preserve">Dernière vérification</t>
  </si>
  <si>
    <t xml:space="preserve">Alerte automatique</t>
  </si>
  <si>
    <t xml:space="preserve">Contact / interlocuteur</t>
  </si>
  <si>
    <t xml:space="preserve">URSSAF — Cotisations sociales</t>
  </si>
  <si>
    <t xml:space="preserve">Numéro URSSAF (compte cotisant)</t>
  </si>
  <si>
    <t xml:space="preserve">Déclaration et paiement mensuel / trimestriel</t>
  </si>
  <si>
    <t xml:space="preserve">Mise à jour adresse et représentant légal</t>
  </si>
  <si>
    <t xml:space="preserve">GUSO — Guichet Unique du Spectacle Occasionnel</t>
  </si>
  <si>
    <t xml:space="preserve">Compte GUSO actif (pour intermittents occasionnels)</t>
  </si>
  <si>
    <t xml:space="preserve">Identifiant employeur GUSO</t>
  </si>
  <si>
    <t xml:space="preserve">Mise à jour informations structure</t>
  </si>
  <si>
    <t xml:space="preserve">AUDIENS — Retraite complémentaire spectacle</t>
  </si>
  <si>
    <t xml:space="preserve">Numéro adhérent Audiens</t>
  </si>
  <si>
    <t xml:space="preserve">Affiliation retraite complémentaire AGIRC-ARRCO</t>
  </si>
  <si>
    <t xml:space="preserve">Prévoyance (si applicable)</t>
  </si>
  <si>
    <t xml:space="preserve">Mise à jour informations</t>
  </si>
  <si>
    <t xml:space="preserve">AFDAS — Formation professionnelle (OPCO spectacle)</t>
  </si>
  <si>
    <t xml:space="preserve">Numéro adhérent AFDAS</t>
  </si>
  <si>
    <t xml:space="preserve">Plan de formation annuel déposé</t>
  </si>
  <si>
    <t xml:space="preserve">Mise à jour informations employeur</t>
  </si>
  <si>
    <t xml:space="preserve">CONGÉS SPECTACLES — Caisse des congés payés</t>
  </si>
  <si>
    <t xml:space="preserve">Numéro adhérent Congés Spectacles</t>
  </si>
  <si>
    <t xml:space="preserve">Déclaration trimestrielle à jour</t>
  </si>
  <si>
    <t xml:space="preserve">PÔLE EMPLOI SPECTACLE / FRANCE TRAVAIL</t>
  </si>
  <si>
    <t xml:space="preserve">Numéro SIRET déclaré</t>
  </si>
  <si>
    <t xml:space="preserve">Compte employeur France Travail</t>
  </si>
  <si>
    <t xml:space="preserve">Attestations employeur (AEM) à jour</t>
  </si>
  <si>
    <t xml:space="preserve">SACEM / SPEDIDAM / ADAMI — Droits</t>
  </si>
  <si>
    <t xml:space="preserve">Compte SACEM (diffusion musicale)</t>
  </si>
  <si>
    <t xml:space="preserve">Compte SPEDIDAM (interprètes)</t>
  </si>
  <si>
    <t xml:space="preserve">Compte ADAMI (artistes interprètes)</t>
  </si>
  <si>
    <t xml:space="preserve">MUTUELLE OBLIGATOIRE</t>
  </si>
  <si>
    <t xml:space="preserve">Contrat mutuelle collective</t>
  </si>
  <si>
    <t xml:space="preserve">Date d'expiration / renouvellement</t>
  </si>
  <si>
    <t xml:space="preserve">Couverture minimale (100% base sécu)</t>
  </si>
  <si>
    <t xml:space="preserve">INFORMATIONS À SYNCHRONISER AVEC TOUTES LES CAISSES</t>
  </si>
  <si>
    <t xml:space="preserve">Ces informations doivent être identiques chez tous les organismes. Toute modification doit être déclarée dans les 30 jours.</t>
  </si>
  <si>
    <t xml:space="preserve">Information</t>
  </si>
  <si>
    <t xml:space="preserve">Valeur actuelle</t>
  </si>
  <si>
    <t xml:space="preserve">Valeur enregistrée chez caisses</t>
  </si>
  <si>
    <t xml:space="preserve">Cohérent ?</t>
  </si>
  <si>
    <t xml:space="preserve">Date dernière MAJ</t>
  </si>
  <si>
    <t xml:space="preserve">Nom officiel association</t>
  </si>
  <si>
    <t xml:space="preserve">Adresse siège social</t>
  </si>
  <si>
    <t xml:space="preserve">Représentant légal (Président)</t>
  </si>
  <si>
    <t xml:space="preserve">Convention collective</t>
  </si>
  <si>
    <t xml:space="preserve">MOYENS HUMAINS ASSOCIATION — N-1 / N / N+1</t>
  </si>
  <si>
    <t xml:space="preserve">N-1 = exercice réalisé | N = exercice en cours | N+1 = projection | ETPT = Équivalent Temps Plein Travaillé</t>
  </si>
  <si>
    <t xml:space="preserve">Année N-1</t>
  </si>
  <si>
    <t xml:space="preserve">Année N</t>
  </si>
  <si>
    <t xml:space="preserve">Année N+1</t>
  </si>
  <si>
    <t xml:space="preserve">Poste / Fonction</t>
  </si>
  <si>
    <t xml:space="preserve">Statut</t>
  </si>
  <si>
    <t xml:space="preserve">N-1 ETPT</t>
  </si>
  <si>
    <t xml:space="preserve">N ETPT</t>
  </si>
  <si>
    <t xml:space="preserve">N+1 ETPT</t>
  </si>
  <si>
    <t xml:space="preserve">Quotité N</t>
  </si>
  <si>
    <t xml:space="preserve">Observations</t>
  </si>
  <si>
    <t xml:space="preserve">SALARIÉS PERMANENTS (CDI / CDD longue durée)</t>
  </si>
  <si>
    <t xml:space="preserve">CDI</t>
  </si>
  <si>
    <t xml:space="preserve">Chargé(e) de production</t>
  </si>
  <si>
    <t xml:space="preserve">Chargé(e) de communication</t>
  </si>
  <si>
    <t xml:space="preserve">Chargé(e) de médiation culturelle</t>
  </si>
  <si>
    <t xml:space="preserve">Comptable / assistant(e) de gestion</t>
  </si>
  <si>
    <t xml:space="preserve">Autre permanent(e) 1</t>
  </si>
  <si>
    <t xml:space="preserve">Autre permanent(e) 2</t>
  </si>
  <si>
    <t xml:space="preserve">SOUS-TOTAL ETPT PERMANENTS</t>
  </si>
  <si>
    <t xml:space="preserve">CDD COURTS ET INTERMITTENTS RÉGULIERS DE L'ASSO (hors projets)</t>
  </si>
  <si>
    <t xml:space="preserve">Intervenant(e) régulier — ateliers</t>
  </si>
  <si>
    <t xml:space="preserve">Intermittent</t>
  </si>
  <si>
    <t xml:space="preserve">Technicien(ne) régulier(e)</t>
  </si>
  <si>
    <t xml:space="preserve">Assistant(e) de production ponctuel(le)</t>
  </si>
  <si>
    <t xml:space="preserve">Autre intermittent régulier</t>
  </si>
  <si>
    <t xml:space="preserve">SOUS-TOTAL ETPT INTERMITTENTS ASSO</t>
  </si>
  <si>
    <t xml:space="preserve">BÉNÉVOLES RÉGULIERS — Valorisation</t>
  </si>
  <si>
    <t xml:space="preserve">Rôle bénévole</t>
  </si>
  <si>
    <t xml:space="preserve">Mission principale</t>
  </si>
  <si>
    <t xml:space="preserve">Nb heures/an N-1</t>
  </si>
  <si>
    <t xml:space="preserve">Nb heures/an N</t>
  </si>
  <si>
    <t xml:space="preserve">Nb heures/an N+1</t>
  </si>
  <si>
    <t xml:space="preserve">Valeur SMIC (N)</t>
  </si>
  <si>
    <t xml:space="preserve">Président(e) bénévole</t>
  </si>
  <si>
    <t xml:space="preserve">Trésorier(e) bénévole</t>
  </si>
  <si>
    <t xml:space="preserve">Secrétaire bénévole</t>
  </si>
  <si>
    <t xml:space="preserve">Bénévole opérationnel(le) 1</t>
  </si>
  <si>
    <t xml:space="preserve">Bénévole opérationnel(le) 2</t>
  </si>
  <si>
    <t xml:space="preserve">Autre bénévole</t>
  </si>
  <si>
    <t xml:space="preserve">SOUS-TOTAL BÉNÉVOLES VALORISÉS</t>
  </si>
  <si>
    <t xml:space="preserve">RÉCAPITULATIF MASSE SALARIALE — N-1 / N / N+1</t>
  </si>
  <si>
    <t xml:space="preserve">Poste</t>
  </si>
  <si>
    <t xml:space="preserve">N-1</t>
  </si>
  <si>
    <t xml:space="preserve">N</t>
  </si>
  <si>
    <t xml:space="preserve">N+1</t>
  </si>
  <si>
    <t xml:space="preserve">Taux charges</t>
  </si>
  <si>
    <t xml:space="preserve">ETPT total permanents</t>
  </si>
  <si>
    <t xml:space="preserve">—</t>
  </si>
  <si>
    <t xml:space="preserve">ETPT total intermittents asso</t>
  </si>
  <si>
    <t xml:space="preserve">Total ETPT salarié asso</t>
  </si>
  <si>
    <t xml:space="preserve">Masse salariale brute estimée (N)</t>
  </si>
  <si>
    <t xml:space="preserve">Charges patronales estimées (N)</t>
  </si>
  <si>
    <t xml:space="preserve">COÛT TOTAL EMPLOYEUR (N)</t>
  </si>
  <si>
    <t xml:space="preserve">FINANCES ASSOCIATION — Compte de résultat N-1 / N / N+1</t>
  </si>
  <si>
    <t xml:space="preserve">N-1 = bilan certifié | N = prévisionnel en cours | N+1 = projection</t>
  </si>
  <si>
    <t xml:space="preserve">PRODUITS</t>
  </si>
  <si>
    <t xml:space="preserve">N-1 réalisé</t>
  </si>
  <si>
    <t xml:space="preserve">N prévisionnel</t>
  </si>
  <si>
    <t xml:space="preserve">N+1 projection</t>
  </si>
  <si>
    <t xml:space="preserve">Note / source</t>
  </si>
  <si>
    <t xml:space="preserve">70 Ventes et prestations</t>
  </si>
  <si>
    <t xml:space="preserve">  701 Ventes produits finis</t>
  </si>
  <si>
    <t xml:space="preserve">  706 Prestations de services</t>
  </si>
  <si>
    <t xml:space="preserve">74 Subventions d'exploitation</t>
  </si>
  <si>
    <t xml:space="preserve">  7411 État / ministères</t>
  </si>
  <si>
    <t xml:space="preserve">  7412 Régions</t>
  </si>
  <si>
    <t xml:space="preserve">  7413 Départements</t>
  </si>
  <si>
    <t xml:space="preserve">  7414 Communes</t>
  </si>
  <si>
    <t xml:space="preserve">  7415 Établissements publics</t>
  </si>
  <si>
    <t xml:space="preserve">  7417 Organismes sociaux</t>
  </si>
  <si>
    <t xml:space="preserve">  7418 Autres organismes</t>
  </si>
  <si>
    <t xml:space="preserve">75 Autres produits de gestion</t>
  </si>
  <si>
    <t xml:space="preserve">  754 Cotisations et dons</t>
  </si>
  <si>
    <t xml:space="preserve">  758 Produits divers</t>
  </si>
  <si>
    <t xml:space="preserve">TOTAL PRODUITS</t>
  </si>
  <si>
    <t xml:space="preserve">CHARGES</t>
  </si>
  <si>
    <t xml:space="preserve">60 Achats</t>
  </si>
  <si>
    <t xml:space="preserve">  601/606 Fournitures et achats</t>
  </si>
  <si>
    <t xml:space="preserve">61-62 Services extérieurs</t>
  </si>
  <si>
    <t xml:space="preserve">  613 Locations</t>
  </si>
  <si>
    <t xml:space="preserve">  616 Assurances</t>
  </si>
  <si>
    <t xml:space="preserve">  622 Honoraires et rémunérations</t>
  </si>
  <si>
    <t xml:space="preserve">  623 Communication</t>
  </si>
  <si>
    <t xml:space="preserve">  625 Déplacements</t>
  </si>
  <si>
    <t xml:space="preserve">  628 Autres services</t>
  </si>
  <si>
    <t xml:space="preserve">64 Charges de personnel</t>
  </si>
  <si>
    <t xml:space="preserve">  641 Salaires bruts</t>
  </si>
  <si>
    <t xml:space="preserve">  645 Charges sociales patronales</t>
  </si>
  <si>
    <t xml:space="preserve">65-67 Autres charges</t>
  </si>
  <si>
    <t xml:space="preserve">  658 Charges diverses gestion</t>
  </si>
  <si>
    <t xml:space="preserve">  671 Charges exceptionnelles</t>
  </si>
  <si>
    <t xml:space="preserve">68 Dotations amortissements</t>
  </si>
  <si>
    <t xml:space="preserve">  681 Dotations aux amortissements</t>
  </si>
  <si>
    <t xml:space="preserve">TOTAL CHARGES</t>
  </si>
  <si>
    <t xml:space="preserve">RÉSULTAT NET</t>
  </si>
  <si>
    <t xml:space="preserve">BILAN SIMPLIFIÉ ET TRÉSORERIE</t>
  </si>
  <si>
    <t xml:space="preserve">Fonds propres (capital + réserves)</t>
  </si>
  <si>
    <t xml:space="preserve">Actif net</t>
  </si>
  <si>
    <t xml:space="preserve">Report à nouveau</t>
  </si>
  <si>
    <t xml:space="preserve">Résultat N-1 non affecté</t>
  </si>
  <si>
    <t xml:space="preserve">Solde bancaire</t>
  </si>
  <si>
    <t xml:space="preserve">Dettes et obligations</t>
  </si>
  <si>
    <t xml:space="preserve">Emprunts + charges à payer</t>
  </si>
  <si>
    <t xml:space="preserve">MODÈLE DE COLLECTE DOCUMENTS — À remettre au client</t>
  </si>
  <si>
    <t xml:space="preserve">Ce document liste toutes les informations et pièces à fournir. Cocher 'Reçu' au fur et à mesure.</t>
  </si>
  <si>
    <t xml:space="preserve">Document / Information</t>
  </si>
  <si>
    <t xml:space="preserve">Priorité</t>
  </si>
  <si>
    <t xml:space="preserve">Format attendu</t>
  </si>
  <si>
    <t xml:space="preserve">Reçu ?</t>
  </si>
  <si>
    <t xml:space="preserve">Date réception</t>
  </si>
  <si>
    <t xml:space="preserve">Pourquoi nécessaire</t>
  </si>
  <si>
    <t xml:space="preserve">PIÈCES ADMINISTRATIVES OBLIGATOIRES</t>
  </si>
  <si>
    <t xml:space="preserve">Statuts de l'association à jour</t>
  </si>
  <si>
    <t xml:space="preserve">Obligatoire</t>
  </si>
  <si>
    <t xml:space="preserve">PDF</t>
  </si>
  <si>
    <t xml:space="preserve">Non</t>
  </si>
  <si>
    <t xml:space="preserve">Dossier subvention</t>
  </si>
  <si>
    <t xml:space="preserve">Récépissé de déclaration en préfecture</t>
  </si>
  <si>
    <t xml:space="preserve">Preuve d'existence</t>
  </si>
  <si>
    <t xml:space="preserve">PV du dernier CA approuvant les comptes</t>
  </si>
  <si>
    <t xml:space="preserve">PV de la dernière AG</t>
  </si>
  <si>
    <t xml:space="preserve">Liste des membres du bureau (nom + fonction)</t>
  </si>
  <si>
    <t xml:space="preserve">PDF/Word</t>
  </si>
  <si>
    <t xml:space="preserve">Relevé d'identité bancaire (RIB) asso</t>
  </si>
  <si>
    <t xml:space="preserve">Versement subventions</t>
  </si>
  <si>
    <t xml:space="preserve">Extrait Kbis ou récépissé RNA</t>
  </si>
  <si>
    <t xml:space="preserve">Dossier administratif</t>
  </si>
  <si>
    <t xml:space="preserve">LICENCES ET AGRÉMENTS</t>
  </si>
  <si>
    <t xml:space="preserve">Licence entrepreneur du spectacle (type 1, 2 ou 3)</t>
  </si>
  <si>
    <t xml:space="preserve">Condition légale</t>
  </si>
  <si>
    <t xml:space="preserve">Attestation en cours de renouvellement si expirée</t>
  </si>
  <si>
    <t xml:space="preserve">Si applicable</t>
  </si>
  <si>
    <t xml:space="preserve">Agrément JEP (si applicable)</t>
  </si>
  <si>
    <t xml:space="preserve">Actions éducatives</t>
  </si>
  <si>
    <t xml:space="preserve">PIÈCES COMPTABLES ET FINANCIÈRES</t>
  </si>
  <si>
    <t xml:space="preserve">Bilan comptable N-1 (exercice précédent)</t>
  </si>
  <si>
    <t xml:space="preserve">PDF/Excel</t>
  </si>
  <si>
    <t xml:space="preserve">Faisabilité financière</t>
  </si>
  <si>
    <t xml:space="preserve">Compte de résultat N-1</t>
  </si>
  <si>
    <t xml:space="preserve">Bilan comptable N-2 (si disponible)</t>
  </si>
  <si>
    <t xml:space="preserve">Fortement recommandé</t>
  </si>
  <si>
    <t xml:space="preserve">Crédibilité dossier</t>
  </si>
  <si>
    <t xml:space="preserve">Budget prévisionnel N (exercice en cours)</t>
  </si>
  <si>
    <t xml:space="preserve">Excel</t>
  </si>
  <si>
    <t xml:space="preserve">Situation de trésorerie récente</t>
  </si>
  <si>
    <t xml:space="preserve">Recommandé</t>
  </si>
  <si>
    <t xml:space="preserve">Faisabilité immédiate</t>
  </si>
  <si>
    <t xml:space="preserve">Attestation de régularité fiscale et sociale</t>
  </si>
  <si>
    <t xml:space="preserve">Obligatoire si &gt;3000€</t>
  </si>
  <si>
    <t xml:space="preserve">Dossier Mairie Paris</t>
  </si>
  <si>
    <t xml:space="preserve">INFORMATIONS ORGANISMES SOCIAUX</t>
  </si>
  <si>
    <t xml:space="preserve">N° URSSAF et attestation de régularité</t>
  </si>
  <si>
    <t xml:space="preserve">Obligatoire si salariés</t>
  </si>
  <si>
    <t xml:space="preserve">Conformité sociale</t>
  </si>
  <si>
    <t xml:space="preserve">N° GUSO (si intermittents occasionnels)</t>
  </si>
  <si>
    <t xml:space="preserve">Identifiant</t>
  </si>
  <si>
    <t xml:space="preserve">Paiement artistes</t>
  </si>
  <si>
    <t xml:space="preserve">N° Audiens (si salariés permanents)</t>
  </si>
  <si>
    <t xml:space="preserve">Retraite compl.</t>
  </si>
  <si>
    <t xml:space="preserve">N° AFDAS (si salariés)</t>
  </si>
  <si>
    <t xml:space="preserve">Formation pro</t>
  </si>
  <si>
    <t xml:space="preserve">N° Congés Spectacles</t>
  </si>
  <si>
    <t xml:space="preserve">Congés payés</t>
  </si>
  <si>
    <t xml:space="preserve">Si salariés</t>
  </si>
  <si>
    <t xml:space="preserve">Obligation légale</t>
  </si>
  <si>
    <t xml:space="preserve">Référence</t>
  </si>
  <si>
    <t xml:space="preserve">Cadre social</t>
  </si>
  <si>
    <t xml:space="preserve">INFORMATIONS PROJET (EN PLUS DE L'ASSO)</t>
  </si>
  <si>
    <t xml:space="preserve">Note artistique et descriptif du projet</t>
  </si>
  <si>
    <t xml:space="preserve">Dossier artistique</t>
  </si>
  <si>
    <t xml:space="preserve">Programmation prévisionnelle détaillée</t>
  </si>
  <si>
    <t xml:space="preserve">Liste des artistes avec statuts et cachets</t>
  </si>
  <si>
    <t xml:space="preserve">Budget artistes</t>
  </si>
  <si>
    <t xml:space="preserve">Lettre d'engagement ou contrat lieu</t>
  </si>
  <si>
    <t xml:space="preserve">Preuves des demandes de subvention en cours</t>
  </si>
  <si>
    <t xml:space="preserve">Si disponibles</t>
  </si>
  <si>
    <t xml:space="preserve">Crédibilité plan financement</t>
  </si>
  <si>
    <t xml:space="preserve">Contrats cession droits (films, photos…)</t>
  </si>
  <si>
    <t xml:space="preserve">Prévention contentieux</t>
  </si>
  <si>
    <t xml:space="preserve">Devis prestataires principaux</t>
  </si>
  <si>
    <t xml:space="preserve">Budget prévisionnel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</si>
</sst>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dd/mm/yyyy"/>
    <numFmt numFmtId="167" formatCode="#,##0&quot; €&quot;"/>
    <numFmt numFmtId="168" formatCode="\+0.0%;\-0.0%;\-"/>
    <numFmt numFmtId="169" formatCode="0.000"/>
    <numFmt numFmtId="170" formatCode="0%"/>
    <numFmt numFmtId="171" formatCode="0.0&quot; h&quot;"/>
    <numFmt numFmtId="172" formatCode="#,##0&quot; €&quot;;\(#,##0&quot; €)&quot;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88878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A32D2D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3B6D11"/>
      <name val="Arial"/>
      <family val="0"/>
      <charset val="1"/>
    </font>
    <font>
      <b val="true"/>
      <sz val="9"/>
      <color rgb="FF4A2C82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10"/>
      <color rgb="FF4A2C82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A32D2D"/>
      <name val="Arial"/>
      <family val="0"/>
      <charset val="1"/>
    </font>
    <font>
      <sz val="8"/>
      <color rgb="FF888780"/>
      <name val="Arial"/>
      <family val="0"/>
      <charset val="1"/>
    </font>
    <font>
      <b val="true"/>
      <sz val="8"/>
      <color rgb="FFC45E00"/>
      <name val="Arial"/>
      <family val="0"/>
      <charset val="1"/>
    </font>
    <font>
      <b val="true"/>
      <sz val="8"/>
      <color rgb="FF88878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4A2C82"/>
        <bgColor rgb="FF444441"/>
      </patternFill>
    </fill>
    <fill>
      <patternFill patternType="solid">
        <fgColor rgb="FFF1EFE8"/>
        <bgColor rgb="FFEAF3DE"/>
      </patternFill>
    </fill>
    <fill>
      <patternFill patternType="solid">
        <fgColor rgb="FFA32D2D"/>
        <bgColor rgb="FF993366"/>
      </patternFill>
    </fill>
    <fill>
      <patternFill patternType="solid">
        <fgColor rgb="FF444441"/>
        <bgColor rgb="FF333300"/>
      </patternFill>
    </fill>
    <fill>
      <patternFill patternType="solid">
        <fgColor rgb="FFEAF3DE"/>
        <bgColor rgb="FFF1EFE8"/>
      </patternFill>
    </fill>
    <fill>
      <patternFill patternType="solid">
        <fgColor rgb="FFFFFEF0"/>
        <bgColor rgb="FFFFFFFF"/>
      </patternFill>
    </fill>
    <fill>
      <patternFill patternType="solid">
        <fgColor rgb="FF0F6E56"/>
        <bgColor rgb="FF008080"/>
      </patternFill>
    </fill>
    <fill>
      <patternFill patternType="solid">
        <fgColor rgb="FF185FA5"/>
        <bgColor rgb="FF0F6E56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E6F1FB"/>
        <bgColor rgb="FFE1F5EE"/>
      </patternFill>
    </fill>
    <fill>
      <patternFill patternType="solid">
        <fgColor rgb="FFEDE9F6"/>
        <bgColor rgb="FFF1EFE8"/>
      </patternFill>
    </fill>
    <fill>
      <patternFill patternType="solid">
        <fgColor rgb="FFE1F5EE"/>
        <bgColor rgb="FFE6F1FB"/>
      </patternFill>
    </fill>
    <fill>
      <patternFill patternType="solid">
        <fgColor rgb="FF854F0B"/>
        <bgColor rgb="FFA32D2D"/>
      </patternFill>
    </fill>
    <fill>
      <patternFill patternType="solid">
        <fgColor rgb="FFC45E00"/>
        <bgColor rgb="FF854F0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88780"/>
      <rgbColor rgb="FF9999FF"/>
      <rgbColor rgb="FF993366"/>
      <rgbColor rgb="FFFFFEF0"/>
      <rgbColor rgb="FFE1F5EE"/>
      <rgbColor rgb="FF660066"/>
      <rgbColor rgb="FFFF8080"/>
      <rgbColor rgb="FF185FA5"/>
      <rgbColor rgb="FFEDE9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EDA"/>
      <rgbColor rgb="FFF1EFE8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C45E00"/>
      <rgbColor rgb="FF666699"/>
      <rgbColor rgb="FF969696"/>
      <rgbColor rgb="FF003366"/>
      <rgbColor rgb="FF3B6D11"/>
      <rgbColor rgb="FF003300"/>
      <rgbColor rgb="FF333300"/>
      <rgbColor rgb="FFA32D2D"/>
      <rgbColor rgb="FF993366"/>
      <rgbColor rgb="FF4A2C82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7" min="5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.75" hidden="false" customHeight="true" outlineLevel="0" collapsed="false">
      <c r="A4" s="4" t="s">
        <v>2</v>
      </c>
      <c r="B4" s="5" t="n">
        <f aca="false">IDENTITE!B4</f>
        <v>0</v>
      </c>
      <c r="C4" s="4" t="s">
        <v>3</v>
      </c>
      <c r="D4" s="6" t="n">
        <f aca="false">IDENTITE!B6</f>
        <v>0</v>
      </c>
      <c r="E4" s="4" t="s">
        <v>4</v>
      </c>
      <c r="F4" s="6" t="n">
        <f aca="false">IDENTITE!B10</f>
        <v>0</v>
      </c>
      <c r="G4" s="7"/>
    </row>
    <row r="6" customFormat="false" ht="19.5" hidden="false" customHeight="true" outlineLevel="0" collapsed="false">
      <c r="A6" s="8" t="s">
        <v>5</v>
      </c>
      <c r="B6" s="8"/>
      <c r="C6" s="8"/>
      <c r="D6" s="8"/>
      <c r="E6" s="8"/>
      <c r="F6" s="8"/>
      <c r="G6" s="8"/>
    </row>
    <row r="7" customFormat="false" ht="21.75" hidden="false" customHeight="true" outlineLevel="0" collapsed="false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</row>
    <row r="8" customFormat="false" ht="15" hidden="false" customHeight="true" outlineLevel="0" collapsed="false">
      <c r="A8" s="4" t="s">
        <v>13</v>
      </c>
      <c r="B8" s="10" t="n">
        <f aca="false">IDENTITE!B15</f>
        <v>0</v>
      </c>
      <c r="C8" s="11" t="n">
        <f aca="false">CAISSES!D5</f>
        <v>0</v>
      </c>
      <c r="D8" s="12" t="str">
        <f aca="true">IFERROR(IF(C8="","Renseigner date",IF(NOT(ISNUMBER(C8)),"Format invalide",IF(C8&lt;TODAY(),"EXPIRÉ",IF(C8&lt;TODAY()+90,"URGENT &lt; 3 mois",IF(C8&lt;TODAY()+180,"Attention &lt; 6 mois","OK — "&amp;TEXT(C8,"MM/YYYY")))))),"—")</f>
        <v>Renseigner date</v>
      </c>
      <c r="E8" s="13" t="s">
        <v>14</v>
      </c>
      <c r="F8" s="14"/>
      <c r="G8" s="15"/>
    </row>
    <row r="9" customFormat="false" ht="15" hidden="false" customHeight="true" outlineLevel="0" collapsed="false">
      <c r="A9" s="4" t="s">
        <v>15</v>
      </c>
      <c r="B9" s="10" t="n">
        <f aca="false">CAISSES!C12</f>
        <v>0</v>
      </c>
      <c r="C9" s="11" t="n">
        <f aca="false">CAISSES!D12</f>
        <v>0</v>
      </c>
      <c r="D9" s="12" t="str">
        <f aca="true">IFERROR(IF(C9="","Renseigner date",IF(NOT(ISNUMBER(C9)),"Format invalide",IF(C9&lt;TODAY(),"EXPIRÉ",IF(C9&lt;TODAY()+90,"URGENT &lt; 3 mois",IF(C9&lt;TODAY()+180,"Attention &lt; 6 mois","OK — "&amp;TEXT(C9,"MM/YYYY")))))),"—")</f>
        <v>Renseigner date</v>
      </c>
      <c r="E9" s="13" t="s">
        <v>14</v>
      </c>
      <c r="F9" s="14"/>
      <c r="G9" s="15"/>
    </row>
    <row r="10" customFormat="false" ht="15" hidden="false" customHeight="true" outlineLevel="0" collapsed="false">
      <c r="A10" s="4" t="s">
        <v>16</v>
      </c>
      <c r="B10" s="10" t="n">
        <f aca="false">CAISSES!C17</f>
        <v>0</v>
      </c>
      <c r="C10" s="11" t="n">
        <f aca="false">CAISSES!D17</f>
        <v>0</v>
      </c>
      <c r="D10" s="12" t="str">
        <f aca="true">IFERROR(IF(C10="","Renseigner date",IF(NOT(ISNUMBER(C10)),"Format invalide",IF(C10&lt;TODAY(),"EXPIRÉ",IF(C10&lt;TODAY()+90,"URGENT &lt; 3 mois",IF(C10&lt;TODAY()+180,"Attention &lt; 6 mois","OK — "&amp;TEXT(C10,"MM/YYYY")))))),"—")</f>
        <v>Renseigner date</v>
      </c>
      <c r="E10" s="13" t="s">
        <v>14</v>
      </c>
      <c r="F10" s="14"/>
      <c r="G10" s="15"/>
    </row>
    <row r="11" customFormat="false" ht="15" hidden="false" customHeight="true" outlineLevel="0" collapsed="false">
      <c r="A11" s="4" t="s">
        <v>17</v>
      </c>
      <c r="B11" s="10" t="n">
        <f aca="false">CAISSES!C22</f>
        <v>0</v>
      </c>
      <c r="C11" s="11" t="n">
        <f aca="false">CAISSES!D22</f>
        <v>0</v>
      </c>
      <c r="D11" s="12" t="str">
        <f aca="true">IFERROR(IF(C11="","Renseigner date",IF(NOT(ISNUMBER(C11)),"Format invalide",IF(C11&lt;TODAY(),"EXPIRÉ",IF(C11&lt;TODAY()+90,"URGENT &lt; 3 mois",IF(C11&lt;TODAY()+180,"Attention &lt; 6 mois","OK — "&amp;TEXT(C11,"MM/YYYY")))))),"—")</f>
        <v>Renseigner date</v>
      </c>
      <c r="E11" s="13" t="s">
        <v>14</v>
      </c>
      <c r="F11" s="14"/>
      <c r="G11" s="15"/>
    </row>
    <row r="12" customFormat="false" ht="15" hidden="false" customHeight="true" outlineLevel="0" collapsed="false">
      <c r="A12" s="4" t="s">
        <v>18</v>
      </c>
      <c r="B12" s="10" t="n">
        <f aca="false">CAISSES!C27</f>
        <v>0</v>
      </c>
      <c r="C12" s="11" t="n">
        <f aca="false">CAISSES!D27</f>
        <v>0</v>
      </c>
      <c r="D12" s="12" t="str">
        <f aca="true">IFERROR(IF(C12="","Renseigner date",IF(NOT(ISNUMBER(C12)),"Format invalide",IF(C12&lt;TODAY(),"EXPIRÉ",IF(C12&lt;TODAY()+90,"URGENT &lt; 3 mois",IF(C12&lt;TODAY()+180,"Attention &lt; 6 mois","OK — "&amp;TEXT(C12,"MM/YYYY")))))),"—")</f>
        <v>Renseigner date</v>
      </c>
      <c r="E12" s="13" t="s">
        <v>14</v>
      </c>
      <c r="F12" s="14"/>
      <c r="G12" s="15"/>
    </row>
    <row r="13" customFormat="false" ht="15" hidden="false" customHeight="true" outlineLevel="0" collapsed="false">
      <c r="A13" s="4" t="s">
        <v>19</v>
      </c>
      <c r="B13" s="10" t="n">
        <f aca="false">CAISSES!C32</f>
        <v>0</v>
      </c>
      <c r="C13" s="11" t="n">
        <f aca="false">CAISSES!D32</f>
        <v>0</v>
      </c>
      <c r="D13" s="12" t="str">
        <f aca="true">IFERROR(IF(C13="","Renseigner date",IF(NOT(ISNUMBER(C13)),"Format invalide",IF(C13&lt;TODAY(),"EXPIRÉ",IF(C13&lt;TODAY()+90,"URGENT &lt; 3 mois",IF(C13&lt;TODAY()+180,"Attention &lt; 6 mois","OK — "&amp;TEXT(C13,"MM/YYYY")))))),"—")</f>
        <v>Renseigner date</v>
      </c>
      <c r="E13" s="13" t="s">
        <v>14</v>
      </c>
      <c r="F13" s="14"/>
      <c r="G13" s="15"/>
    </row>
    <row r="14" customFormat="false" ht="15" hidden="false" customHeight="true" outlineLevel="0" collapsed="false">
      <c r="A14" s="4" t="s">
        <v>20</v>
      </c>
      <c r="B14" s="10" t="n">
        <f aca="false">CAISSES!C37</f>
        <v>0</v>
      </c>
      <c r="C14" s="11" t="n">
        <f aca="false">CAISSES!D37</f>
        <v>0</v>
      </c>
      <c r="D14" s="12" t="str">
        <f aca="true">IFERROR(IF(C14="","Renseigner date",IF(NOT(ISNUMBER(C14)),"Format invalide",IF(C14&lt;TODAY(),"EXPIRÉ",IF(C14&lt;TODAY()+90,"URGENT &lt; 3 mois",IF(C14&lt;TODAY()+180,"Attention &lt; 6 mois","OK — "&amp;TEXT(C14,"MM/YYYY")))))),"—")</f>
        <v>Renseigner date</v>
      </c>
      <c r="E14" s="13" t="s">
        <v>14</v>
      </c>
      <c r="F14" s="14"/>
      <c r="G14" s="15"/>
    </row>
    <row r="15" customFormat="false" ht="15" hidden="false" customHeight="true" outlineLevel="0" collapsed="false">
      <c r="A15" s="4" t="s">
        <v>21</v>
      </c>
      <c r="B15" s="10" t="str">
        <f aca="false">CAISSES!C42</f>
        <v>Valeur enregistrée chez caisses</v>
      </c>
      <c r="C15" s="11" t="str">
        <f aca="false">CAISSES!D42</f>
        <v>Cohérent ?</v>
      </c>
      <c r="D15" s="12" t="str">
        <f aca="true">IFERROR(IF(C15="","Renseigner date",IF(NOT(ISNUMBER(C15)),"Format invalide",IF(C15&lt;TODAY(),"EXPIRÉ",IF(C15&lt;TODAY()+90,"URGENT &lt; 3 mois",IF(C15&lt;TODAY()+180,"Attention &lt; 6 mois","OK — "&amp;TEXT(C15,"MM/YYYY")))))),"—")</f>
        <v>Format invalide</v>
      </c>
      <c r="E15" s="13" t="s">
        <v>14</v>
      </c>
      <c r="F15" s="14"/>
      <c r="G15" s="15"/>
    </row>
    <row r="17" customFormat="false" ht="19.5" hidden="false" customHeight="true" outlineLevel="0" collapsed="false">
      <c r="A17" s="16" t="s">
        <v>22</v>
      </c>
      <c r="B17" s="16"/>
      <c r="C17" s="16"/>
      <c r="D17" s="16"/>
      <c r="E17" s="16"/>
      <c r="F17" s="16"/>
      <c r="G17" s="16"/>
    </row>
    <row r="18" customFormat="false" ht="21.75" hidden="false" customHeight="true" outlineLevel="0" collapsed="false">
      <c r="A18" s="9" t="s">
        <v>23</v>
      </c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</row>
    <row r="19" customFormat="false" ht="13.5" hidden="false" customHeight="true" outlineLevel="0" collapsed="false">
      <c r="A19" s="4" t="s">
        <v>30</v>
      </c>
      <c r="B19" s="17" t="n">
        <f aca="false">RH_ASSO!C48</f>
        <v>0</v>
      </c>
      <c r="C19" s="17" t="n">
        <f aca="false">RH_ASSO!D48</f>
        <v>0</v>
      </c>
      <c r="D19" s="17" t="n">
        <f aca="false">RH_ASSO!E48</f>
        <v>0</v>
      </c>
      <c r="E19" s="18" t="str">
        <f aca="false">IF(B19=0,"-",C19/B19-1)</f>
        <v>-</v>
      </c>
      <c r="F19" s="18" t="str">
        <f aca="false">IF(C19=0,"-",D19/C19-1)</f>
        <v>-</v>
      </c>
      <c r="G19" s="15"/>
    </row>
    <row r="20" customFormat="false" ht="13.5" hidden="false" customHeight="true" outlineLevel="0" collapsed="false">
      <c r="A20" s="4" t="s">
        <v>31</v>
      </c>
      <c r="B20" s="17" t="n">
        <f aca="false">RH_ASSO!C60</f>
        <v>0</v>
      </c>
      <c r="C20" s="17" t="n">
        <f aca="false">RH_ASSO!D60</f>
        <v>0</v>
      </c>
      <c r="D20" s="17" t="n">
        <f aca="false">RH_ASSO!E60</f>
        <v>0</v>
      </c>
      <c r="E20" s="18" t="str">
        <f aca="false">IF(B20=0,"-",C20/B20-1)</f>
        <v>-</v>
      </c>
      <c r="F20" s="18" t="str">
        <f aca="false">IF(C20=0,"-",D20/C20-1)</f>
        <v>-</v>
      </c>
      <c r="G20" s="15"/>
    </row>
    <row r="21" customFormat="false" ht="13.5" hidden="false" customHeight="true" outlineLevel="0" collapsed="false">
      <c r="A21" s="4" t="s">
        <v>32</v>
      </c>
      <c r="B21" s="17" t="n">
        <f aca="false">RH_ASSO!C70</f>
        <v>0</v>
      </c>
      <c r="C21" s="17" t="n">
        <f aca="false">RH_ASSO!D70</f>
        <v>0</v>
      </c>
      <c r="D21" s="17" t="n">
        <f aca="false">RH_ASSO!E70</f>
        <v>0</v>
      </c>
      <c r="E21" s="18" t="str">
        <f aca="false">IF(B21=0,"-",C21/B21-1)</f>
        <v>-</v>
      </c>
      <c r="F21" s="18" t="str">
        <f aca="false">IF(C21=0,"-",D21/C21-1)</f>
        <v>-</v>
      </c>
      <c r="G21" s="15"/>
    </row>
    <row r="22" customFormat="false" ht="13.5" hidden="false" customHeight="true" outlineLevel="0" collapsed="false">
      <c r="A22" s="4" t="s">
        <v>33</v>
      </c>
      <c r="B22" s="17" t="n">
        <f aca="false">RH_ASSO!C71</f>
        <v>0</v>
      </c>
      <c r="C22" s="17" t="n">
        <f aca="false">RH_ASSO!D71</f>
        <v>0</v>
      </c>
      <c r="D22" s="17" t="n">
        <f aca="false">RH_ASSO!E71</f>
        <v>0</v>
      </c>
      <c r="E22" s="18" t="str">
        <f aca="false">IF(B22=0,"-",C22/B22-1)</f>
        <v>-</v>
      </c>
      <c r="F22" s="18" t="str">
        <f aca="false">IF(C22=0,"-",D22/C22-1)</f>
        <v>-</v>
      </c>
      <c r="G22" s="15"/>
    </row>
    <row r="23" customFormat="false" ht="13.5" hidden="false" customHeight="true" outlineLevel="0" collapsed="false">
      <c r="A23" s="4" t="s">
        <v>34</v>
      </c>
      <c r="B23" s="17" t="n">
        <f aca="false">RH_ASSO!C72</f>
        <v>0</v>
      </c>
      <c r="C23" s="17" t="n">
        <f aca="false">RH_ASSO!D72</f>
        <v>0</v>
      </c>
      <c r="D23" s="17" t="n">
        <f aca="false">RH_ASSO!E72</f>
        <v>0</v>
      </c>
      <c r="E23" s="18" t="str">
        <f aca="false">IF(B23=0,"-",C23/B23-1)</f>
        <v>-</v>
      </c>
      <c r="F23" s="18" t="str">
        <f aca="false">IF(C23=0,"-",D23/C23-1)</f>
        <v>-</v>
      </c>
      <c r="G23" s="15"/>
    </row>
    <row r="25" customFormat="false" ht="19.5" hidden="false" customHeight="true" outlineLevel="0" collapsed="false">
      <c r="A25" s="19" t="s">
        <v>35</v>
      </c>
      <c r="B25" s="19"/>
      <c r="C25" s="19"/>
      <c r="D25" s="19"/>
      <c r="E25" s="19"/>
      <c r="F25" s="19"/>
      <c r="G25" s="19"/>
    </row>
    <row r="26" customFormat="false" ht="21.75" hidden="false" customHeight="true" outlineLevel="0" collapsed="false">
      <c r="A26" s="9" t="s">
        <v>23</v>
      </c>
      <c r="B26" s="9" t="s">
        <v>24</v>
      </c>
      <c r="C26" s="9" t="s">
        <v>36</v>
      </c>
      <c r="D26" s="9" t="s">
        <v>26</v>
      </c>
      <c r="E26" s="9" t="s">
        <v>37</v>
      </c>
      <c r="F26" s="9" t="s">
        <v>38</v>
      </c>
      <c r="G26" s="9" t="s">
        <v>29</v>
      </c>
    </row>
    <row r="27" customFormat="false" ht="13.5" hidden="false" customHeight="true" outlineLevel="0" collapsed="false">
      <c r="A27" s="4" t="s">
        <v>39</v>
      </c>
      <c r="B27" s="17" t="n">
        <f aca="false">FINANCES!C10</f>
        <v>0</v>
      </c>
      <c r="C27" s="17" t="n">
        <f aca="false">FINANCES!D10</f>
        <v>0</v>
      </c>
      <c r="D27" s="17" t="n">
        <f aca="false">FINANCES!E10</f>
        <v>0</v>
      </c>
      <c r="E27" s="15"/>
      <c r="F27" s="14"/>
      <c r="G27" s="15"/>
    </row>
    <row r="28" customFormat="false" ht="13.5" hidden="false" customHeight="true" outlineLevel="0" collapsed="false">
      <c r="A28" s="4" t="s">
        <v>40</v>
      </c>
      <c r="B28" s="17" t="n">
        <f aca="false">FINANCES!C30</f>
        <v>0</v>
      </c>
      <c r="C28" s="17" t="n">
        <f aca="false">FINANCES!D30</f>
        <v>0</v>
      </c>
      <c r="D28" s="17" t="n">
        <f aca="false">FINANCES!E30</f>
        <v>0</v>
      </c>
      <c r="E28" s="15"/>
      <c r="F28" s="14"/>
      <c r="G28" s="15"/>
    </row>
    <row r="29" customFormat="false" ht="13.5" hidden="false" customHeight="true" outlineLevel="0" collapsed="false">
      <c r="A29" s="4" t="s">
        <v>41</v>
      </c>
      <c r="B29" s="17" t="n">
        <f aca="false">FINANCES!C32</f>
        <v>0</v>
      </c>
      <c r="C29" s="17" t="n">
        <f aca="false">FINANCES!D32</f>
        <v>0</v>
      </c>
      <c r="D29" s="17" t="n">
        <f aca="false">FINANCES!E32</f>
        <v>0</v>
      </c>
      <c r="E29" s="15"/>
      <c r="F29" s="14"/>
      <c r="G29" s="15"/>
    </row>
    <row r="30" customFormat="false" ht="13.5" hidden="false" customHeight="true" outlineLevel="0" collapsed="false">
      <c r="A30" s="4" t="s">
        <v>42</v>
      </c>
      <c r="B30" s="17" t="n">
        <f aca="false">FINANCES!C35</f>
        <v>0</v>
      </c>
      <c r="C30" s="17" t="n">
        <f aca="false">FINANCES!D35</f>
        <v>0</v>
      </c>
      <c r="D30" s="17" t="n">
        <f aca="false">FINANCES!E35</f>
        <v>0</v>
      </c>
      <c r="E30" s="15"/>
      <c r="F30" s="14"/>
      <c r="G30" s="15"/>
    </row>
    <row r="31" customFormat="false" ht="13.5" hidden="false" customHeight="true" outlineLevel="0" collapsed="false">
      <c r="A31" s="4" t="s">
        <v>43</v>
      </c>
      <c r="B31" s="17" t="n">
        <f aca="false">FINANCES!C36</f>
        <v>0</v>
      </c>
      <c r="C31" s="17" t="n">
        <f aca="false">FINANCES!D36</f>
        <v>0</v>
      </c>
      <c r="D31" s="17" t="n">
        <f aca="false">FINANCES!E36</f>
        <v>0</v>
      </c>
      <c r="E31" s="15"/>
      <c r="F31" s="14"/>
      <c r="G31" s="15"/>
    </row>
  </sheetData>
  <mergeCells count="5">
    <mergeCell ref="A1:G1"/>
    <mergeCell ref="A2:G2"/>
    <mergeCell ref="A6:G6"/>
    <mergeCell ref="A17:G17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4"/>
    <col collapsed="false" customWidth="true" hidden="false" outlineLevel="0" max="5" min="4" style="1" width="30"/>
  </cols>
  <sheetData>
    <row r="1" customFormat="false" ht="19.5" hidden="false" customHeight="true" outlineLevel="0" collapsed="false">
      <c r="A1" s="2" t="s">
        <v>44</v>
      </c>
      <c r="B1" s="2"/>
      <c r="C1" s="2"/>
      <c r="D1" s="2"/>
      <c r="E1" s="2"/>
    </row>
    <row r="2" customFormat="false" ht="12.75" hidden="false" customHeight="true" outlineLevel="0" collapsed="false">
      <c r="A2" s="3" t="s">
        <v>45</v>
      </c>
      <c r="B2" s="3"/>
      <c r="C2" s="3"/>
      <c r="D2" s="3"/>
      <c r="E2" s="3"/>
    </row>
    <row r="4" customFormat="false" ht="19.5" hidden="false" customHeight="true" outlineLevel="0" collapsed="false">
      <c r="A4" s="20" t="s">
        <v>46</v>
      </c>
      <c r="B4" s="20"/>
      <c r="D4" s="21" t="s">
        <v>47</v>
      </c>
      <c r="E4" s="21"/>
    </row>
    <row r="5" customFormat="false" ht="21.75" hidden="false" customHeight="true" outlineLevel="0" collapsed="false">
      <c r="A5" s="22" t="s">
        <v>48</v>
      </c>
      <c r="B5" s="15"/>
      <c r="D5" s="9" t="s">
        <v>49</v>
      </c>
      <c r="E5" s="9" t="s">
        <v>50</v>
      </c>
    </row>
    <row r="6" customFormat="false" ht="13.5" hidden="false" customHeight="true" outlineLevel="0" collapsed="false">
      <c r="A6" s="22" t="s">
        <v>51</v>
      </c>
      <c r="B6" s="15"/>
      <c r="D6" s="22" t="s">
        <v>52</v>
      </c>
      <c r="E6" s="15"/>
    </row>
    <row r="7" customFormat="false" ht="13.5" hidden="false" customHeight="true" outlineLevel="0" collapsed="false">
      <c r="A7" s="22" t="s">
        <v>53</v>
      </c>
      <c r="B7" s="15"/>
      <c r="D7" s="22" t="s">
        <v>54</v>
      </c>
      <c r="E7" s="15"/>
    </row>
    <row r="8" customFormat="false" ht="13.5" hidden="false" customHeight="true" outlineLevel="0" collapsed="false">
      <c r="A8" s="22" t="s">
        <v>55</v>
      </c>
      <c r="B8" s="15"/>
      <c r="D8" s="22" t="s">
        <v>56</v>
      </c>
      <c r="E8" s="15"/>
    </row>
    <row r="9" customFormat="false" ht="13.5" hidden="false" customHeight="true" outlineLevel="0" collapsed="false">
      <c r="A9" s="22" t="s">
        <v>57</v>
      </c>
      <c r="B9" s="15"/>
      <c r="D9" s="22" t="s">
        <v>58</v>
      </c>
      <c r="E9" s="23" t="s">
        <v>59</v>
      </c>
    </row>
    <row r="10" customFormat="false" ht="13.5" hidden="false" customHeight="true" outlineLevel="0" collapsed="false">
      <c r="A10" s="22" t="s">
        <v>60</v>
      </c>
      <c r="B10" s="15"/>
      <c r="D10" s="22" t="s">
        <v>61</v>
      </c>
      <c r="E10" s="15"/>
    </row>
    <row r="11" customFormat="false" ht="13.5" hidden="false" customHeight="true" outlineLevel="0" collapsed="false">
      <c r="A11" s="22" t="s">
        <v>62</v>
      </c>
      <c r="B11" s="15"/>
      <c r="D11" s="22" t="s">
        <v>63</v>
      </c>
      <c r="E11" s="15"/>
    </row>
    <row r="12" customFormat="false" ht="13.5" hidden="false" customHeight="true" outlineLevel="0" collapsed="false">
      <c r="A12" s="22" t="s">
        <v>64</v>
      </c>
      <c r="B12" s="15"/>
      <c r="D12" s="22" t="s">
        <v>65</v>
      </c>
      <c r="E12" s="15"/>
    </row>
    <row r="13" customFormat="false" ht="13.5" hidden="false" customHeight="true" outlineLevel="0" collapsed="false">
      <c r="A13" s="22" t="s">
        <v>66</v>
      </c>
      <c r="B13" s="15"/>
    </row>
    <row r="14" customFormat="false" ht="19.5" hidden="false" customHeight="true" outlineLevel="0" collapsed="false">
      <c r="D14" s="21" t="s">
        <v>67</v>
      </c>
      <c r="E14" s="21"/>
    </row>
    <row r="15" customFormat="false" ht="21.75" hidden="false" customHeight="true" outlineLevel="0" collapsed="false">
      <c r="A15" s="20" t="s">
        <v>68</v>
      </c>
      <c r="B15" s="20"/>
      <c r="D15" s="9" t="s">
        <v>69</v>
      </c>
      <c r="E15" s="9" t="s">
        <v>70</v>
      </c>
    </row>
    <row r="16" customFormat="false" ht="13.5" hidden="false" customHeight="true" outlineLevel="0" collapsed="false">
      <c r="A16" s="22" t="s">
        <v>71</v>
      </c>
      <c r="B16" s="15"/>
      <c r="D16" s="22" t="s">
        <v>72</v>
      </c>
      <c r="E16" s="14"/>
    </row>
    <row r="17" customFormat="false" ht="13.5" hidden="false" customHeight="true" outlineLevel="0" collapsed="false">
      <c r="A17" s="22" t="s">
        <v>73</v>
      </c>
      <c r="B17" s="15"/>
      <c r="D17" s="22" t="s">
        <v>74</v>
      </c>
      <c r="E17" s="14"/>
    </row>
    <row r="18" customFormat="false" ht="13.5" hidden="false" customHeight="true" outlineLevel="0" collapsed="false">
      <c r="A18" s="22" t="s">
        <v>75</v>
      </c>
      <c r="B18" s="15"/>
      <c r="D18" s="22" t="s">
        <v>76</v>
      </c>
      <c r="E18" s="14"/>
    </row>
    <row r="19" customFormat="false" ht="13.5" hidden="false" customHeight="true" outlineLevel="0" collapsed="false">
      <c r="A19" s="22" t="s">
        <v>77</v>
      </c>
      <c r="B19" s="15"/>
      <c r="D19" s="22" t="s">
        <v>78</v>
      </c>
      <c r="E19" s="14"/>
    </row>
    <row r="20" customFormat="false" ht="13.5" hidden="false" customHeight="true" outlineLevel="0" collapsed="false">
      <c r="A20" s="22" t="s">
        <v>79</v>
      </c>
      <c r="B20" s="15"/>
      <c r="D20" s="22" t="s">
        <v>80</v>
      </c>
      <c r="E20" s="14"/>
    </row>
    <row r="21" customFormat="false" ht="13.5" hidden="false" customHeight="true" outlineLevel="0" collapsed="false">
      <c r="A21" s="22" t="s">
        <v>81</v>
      </c>
      <c r="B21" s="15"/>
      <c r="D21" s="22" t="s">
        <v>82</v>
      </c>
      <c r="E21" s="14"/>
    </row>
    <row r="22" customFormat="false" ht="13.5" hidden="false" customHeight="true" outlineLevel="0" collapsed="false">
      <c r="A22" s="22" t="s">
        <v>83</v>
      </c>
      <c r="B22" s="15"/>
      <c r="D22" s="22" t="s">
        <v>84</v>
      </c>
      <c r="E22" s="14"/>
    </row>
    <row r="23" customFormat="false" ht="13.5" hidden="false" customHeight="true" outlineLevel="0" collapsed="false">
      <c r="A23" s="22" t="s">
        <v>85</v>
      </c>
      <c r="B23" s="15"/>
    </row>
    <row r="24" customFormat="false" ht="13.5" hidden="false" customHeight="true" outlineLevel="0" collapsed="false">
      <c r="A24" s="22" t="s">
        <v>86</v>
      </c>
      <c r="B24" s="15"/>
    </row>
    <row r="25" customFormat="false" ht="19.5" hidden="false" customHeight="true" outlineLevel="0" collapsed="false">
      <c r="A25" s="24" t="s">
        <v>87</v>
      </c>
      <c r="B25" s="24"/>
      <c r="C25" s="24"/>
      <c r="D25" s="24"/>
      <c r="E25" s="24"/>
    </row>
    <row r="26" customFormat="false" ht="21.75" hidden="false" customHeight="true" outlineLevel="0" collapsed="false">
      <c r="A26" s="9" t="s">
        <v>88</v>
      </c>
      <c r="B26" s="9" t="s">
        <v>89</v>
      </c>
      <c r="C26" s="9" t="s">
        <v>90</v>
      </c>
      <c r="D26" s="9" t="s">
        <v>91</v>
      </c>
      <c r="E26" s="9" t="s">
        <v>92</v>
      </c>
    </row>
    <row r="27" customFormat="false" ht="13.5" hidden="false" customHeight="true" outlineLevel="0" collapsed="false">
      <c r="A27" s="15" t="s">
        <v>93</v>
      </c>
      <c r="B27" s="15"/>
      <c r="C27" s="15"/>
      <c r="D27" s="15" t="s">
        <v>94</v>
      </c>
      <c r="E27" s="14"/>
    </row>
    <row r="28" customFormat="false" ht="13.5" hidden="false" customHeight="true" outlineLevel="0" collapsed="false">
      <c r="A28" s="15" t="s">
        <v>95</v>
      </c>
      <c r="B28" s="15"/>
      <c r="C28" s="15"/>
      <c r="D28" s="15" t="s">
        <v>96</v>
      </c>
      <c r="E28" s="14"/>
    </row>
    <row r="29" customFormat="false" ht="13.5" hidden="false" customHeight="true" outlineLevel="0" collapsed="false">
      <c r="A29" s="15" t="s">
        <v>97</v>
      </c>
      <c r="B29" s="15"/>
      <c r="C29" s="15"/>
      <c r="D29" s="15"/>
      <c r="E29" s="14"/>
    </row>
  </sheetData>
  <mergeCells count="7">
    <mergeCell ref="A1:E1"/>
    <mergeCell ref="A2:E2"/>
    <mergeCell ref="A4:B4"/>
    <mergeCell ref="D4:E4"/>
    <mergeCell ref="D14:E14"/>
    <mergeCell ref="A15:B15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0"/>
  </cols>
  <sheetData>
    <row r="1" customFormat="false" ht="19.5" hidden="false" customHeight="true" outlineLevel="0" collapsed="false">
      <c r="A1" s="25" t="s">
        <v>98</v>
      </c>
      <c r="B1" s="25"/>
      <c r="C1" s="25"/>
      <c r="D1" s="25"/>
      <c r="E1" s="25"/>
      <c r="F1" s="25"/>
      <c r="G1" s="25"/>
      <c r="H1" s="25"/>
    </row>
    <row r="2" customFormat="false" ht="12.75" hidden="false" customHeight="true" outlineLevel="0" collapsed="false">
      <c r="A2" s="3" t="s">
        <v>99</v>
      </c>
      <c r="B2" s="3"/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A4" s="9" t="s">
        <v>100</v>
      </c>
      <c r="B4" s="9" t="s">
        <v>101</v>
      </c>
      <c r="C4" s="9" t="s">
        <v>7</v>
      </c>
      <c r="D4" s="9" t="s">
        <v>102</v>
      </c>
      <c r="E4" s="9" t="s">
        <v>10</v>
      </c>
      <c r="F4" s="9" t="s">
        <v>103</v>
      </c>
      <c r="G4" s="9" t="s">
        <v>104</v>
      </c>
      <c r="H4" s="9" t="s">
        <v>105</v>
      </c>
    </row>
    <row r="5" customFormat="false" ht="15.75" hidden="false" customHeight="true" outlineLevel="0" collapsed="false">
      <c r="A5" s="26" t="s">
        <v>106</v>
      </c>
      <c r="B5" s="26"/>
      <c r="C5" s="26"/>
      <c r="D5" s="26"/>
      <c r="E5" s="26"/>
      <c r="F5" s="26"/>
      <c r="G5" s="26"/>
      <c r="H5" s="26"/>
    </row>
    <row r="6" customFormat="false" ht="13.5" hidden="false" customHeight="true" outlineLevel="0" collapsed="false">
      <c r="A6" s="27" t="s">
        <v>107</v>
      </c>
      <c r="B6" s="15" t="s">
        <v>14</v>
      </c>
      <c r="C6" s="15"/>
      <c r="D6" s="14"/>
      <c r="E6" s="13" t="s">
        <v>14</v>
      </c>
      <c r="F6" s="14"/>
      <c r="G6" s="12" t="str">
        <f aca="true">IF(D6="","—",IF(D6&lt;TODAY(),"EXPIRÉ",IF(D6&lt;TODAY()+90,"URGENT &lt; 3 mois",IF(D6&lt;TODAY()+180,"Attention &lt; 6 mois","OK — "&amp;TEXT(D6,"MM/YYYY")))))</f>
        <v>—</v>
      </c>
      <c r="H6" s="15"/>
    </row>
    <row r="7" customFormat="false" ht="13.5" hidden="false" customHeight="true" outlineLevel="0" collapsed="false">
      <c r="A7" s="27" t="s">
        <v>108</v>
      </c>
      <c r="B7" s="15" t="s">
        <v>14</v>
      </c>
      <c r="C7" s="15"/>
      <c r="D7" s="14"/>
      <c r="E7" s="13" t="s">
        <v>14</v>
      </c>
      <c r="F7" s="14"/>
      <c r="G7" s="12" t="str">
        <f aca="true">IF(D7="","—",IF(D7&lt;TODAY(),"EXPIRÉ",IF(D7&lt;TODAY()+90,"URGENT &lt; 3 mois",IF(D7&lt;TODAY()+180,"Attention &lt; 6 mois","OK — "&amp;TEXT(D7,"MM/YYYY")))))</f>
        <v>—</v>
      </c>
      <c r="H7" s="15"/>
    </row>
    <row r="8" customFormat="false" ht="13.5" hidden="false" customHeight="true" outlineLevel="0" collapsed="false">
      <c r="A8" s="27" t="s">
        <v>109</v>
      </c>
      <c r="B8" s="15" t="s">
        <v>14</v>
      </c>
      <c r="C8" s="15"/>
      <c r="D8" s="14"/>
      <c r="E8" s="13" t="s">
        <v>14</v>
      </c>
      <c r="F8" s="14"/>
      <c r="G8" s="12" t="str">
        <f aca="true">IF(D8="","—",IF(D8&lt;TODAY(),"EXPIRÉ",IF(D8&lt;TODAY()+90,"URGENT &lt; 3 mois",IF(D8&lt;TODAY()+180,"Attention &lt; 6 mois","OK — "&amp;TEXT(D8,"MM/YYYY")))))</f>
        <v>—</v>
      </c>
      <c r="H8" s="15"/>
    </row>
    <row r="9" customFormat="false" ht="15.75" hidden="false" customHeight="true" outlineLevel="0" collapsed="false">
      <c r="A9" s="28" t="s">
        <v>110</v>
      </c>
      <c r="B9" s="28"/>
      <c r="C9" s="28"/>
      <c r="D9" s="28"/>
      <c r="E9" s="28"/>
      <c r="F9" s="28"/>
      <c r="G9" s="28"/>
      <c r="H9" s="28"/>
    </row>
    <row r="10" customFormat="false" ht="13.5" hidden="false" customHeight="true" outlineLevel="0" collapsed="false">
      <c r="A10" s="27" t="s">
        <v>111</v>
      </c>
      <c r="B10" s="15" t="s">
        <v>14</v>
      </c>
      <c r="C10" s="15"/>
      <c r="D10" s="14"/>
      <c r="E10" s="13" t="s">
        <v>14</v>
      </c>
      <c r="F10" s="14"/>
      <c r="G10" s="12" t="str">
        <f aca="true">IF(D10="","—",IF(D10&lt;TODAY(),"EXPIRÉ",IF(D10&lt;TODAY()+90,"URGENT &lt; 3 mois",IF(D10&lt;TODAY()+180,"Attention &lt; 6 mois","OK — "&amp;TEXT(D10,"MM/YYYY")))))</f>
        <v>—</v>
      </c>
      <c r="H10" s="15"/>
    </row>
    <row r="11" customFormat="false" ht="13.5" hidden="false" customHeight="true" outlineLevel="0" collapsed="false">
      <c r="A11" s="27" t="s">
        <v>112</v>
      </c>
      <c r="B11" s="15" t="s">
        <v>14</v>
      </c>
      <c r="C11" s="15"/>
      <c r="D11" s="14"/>
      <c r="E11" s="13" t="s">
        <v>14</v>
      </c>
      <c r="F11" s="14"/>
      <c r="G11" s="12" t="str">
        <f aca="true">IF(D11="","—",IF(D11&lt;TODAY(),"EXPIRÉ",IF(D11&lt;TODAY()+90,"URGENT &lt; 3 mois",IF(D11&lt;TODAY()+180,"Attention &lt; 6 mois","OK — "&amp;TEXT(D11,"MM/YYYY")))))</f>
        <v>—</v>
      </c>
      <c r="H11" s="15"/>
    </row>
    <row r="12" customFormat="false" ht="13.5" hidden="false" customHeight="true" outlineLevel="0" collapsed="false">
      <c r="A12" s="27" t="s">
        <v>113</v>
      </c>
      <c r="B12" s="15" t="s">
        <v>14</v>
      </c>
      <c r="C12" s="15"/>
      <c r="D12" s="14"/>
      <c r="E12" s="13" t="s">
        <v>14</v>
      </c>
      <c r="F12" s="14"/>
      <c r="G12" s="12" t="str">
        <f aca="true">IF(D12="","—",IF(D12&lt;TODAY(),"EXPIRÉ",IF(D12&lt;TODAY()+90,"URGENT &lt; 3 mois",IF(D12&lt;TODAY()+180,"Attention &lt; 6 mois","OK — "&amp;TEXT(D12,"MM/YYYY")))))</f>
        <v>—</v>
      </c>
      <c r="H12" s="15"/>
    </row>
    <row r="13" customFormat="false" ht="15.75" hidden="false" customHeight="true" outlineLevel="0" collapsed="false">
      <c r="A13" s="29" t="s">
        <v>114</v>
      </c>
      <c r="B13" s="29"/>
      <c r="C13" s="29"/>
      <c r="D13" s="29"/>
      <c r="E13" s="29"/>
      <c r="F13" s="29"/>
      <c r="G13" s="29"/>
      <c r="H13" s="29"/>
    </row>
    <row r="14" customFormat="false" ht="13.5" hidden="false" customHeight="true" outlineLevel="0" collapsed="false">
      <c r="A14" s="27" t="s">
        <v>115</v>
      </c>
      <c r="B14" s="15" t="s">
        <v>14</v>
      </c>
      <c r="C14" s="15"/>
      <c r="D14" s="14"/>
      <c r="E14" s="13" t="s">
        <v>14</v>
      </c>
      <c r="F14" s="14"/>
      <c r="G14" s="12" t="str">
        <f aca="true">IF(D14="","—",IF(D14&lt;TODAY(),"EXPIRÉ",IF(D14&lt;TODAY()+90,"URGENT &lt; 3 mois",IF(D14&lt;TODAY()+180,"Attention &lt; 6 mois","OK — "&amp;TEXT(D14,"MM/YYYY")))))</f>
        <v>—</v>
      </c>
      <c r="H14" s="15"/>
    </row>
    <row r="15" customFormat="false" ht="13.5" hidden="false" customHeight="true" outlineLevel="0" collapsed="false">
      <c r="A15" s="27" t="s">
        <v>116</v>
      </c>
      <c r="B15" s="15" t="s">
        <v>14</v>
      </c>
      <c r="C15" s="15"/>
      <c r="D15" s="14"/>
      <c r="E15" s="13" t="s">
        <v>14</v>
      </c>
      <c r="F15" s="14"/>
      <c r="G15" s="12" t="str">
        <f aca="true">IF(D15="","—",IF(D15&lt;TODAY(),"EXPIRÉ",IF(D15&lt;TODAY()+90,"URGENT &lt; 3 mois",IF(D15&lt;TODAY()+180,"Attention &lt; 6 mois","OK — "&amp;TEXT(D15,"MM/YYYY")))))</f>
        <v>—</v>
      </c>
      <c r="H15" s="15"/>
    </row>
    <row r="16" customFormat="false" ht="13.5" hidden="false" customHeight="true" outlineLevel="0" collapsed="false">
      <c r="A16" s="27" t="s">
        <v>117</v>
      </c>
      <c r="B16" s="15" t="s">
        <v>14</v>
      </c>
      <c r="C16" s="15"/>
      <c r="D16" s="14"/>
      <c r="E16" s="13" t="s">
        <v>14</v>
      </c>
      <c r="F16" s="14"/>
      <c r="G16" s="12" t="str">
        <f aca="true">IF(D16="","—",IF(D16&lt;TODAY(),"EXPIRÉ",IF(D16&lt;TODAY()+90,"URGENT &lt; 3 mois",IF(D16&lt;TODAY()+180,"Attention &lt; 6 mois","OK — "&amp;TEXT(D16,"MM/YYYY")))))</f>
        <v>—</v>
      </c>
      <c r="H16" s="15"/>
    </row>
    <row r="17" customFormat="false" ht="13.5" hidden="false" customHeight="true" outlineLevel="0" collapsed="false">
      <c r="A17" s="27" t="s">
        <v>118</v>
      </c>
      <c r="B17" s="15" t="s">
        <v>14</v>
      </c>
      <c r="C17" s="15"/>
      <c r="D17" s="14"/>
      <c r="E17" s="13" t="s">
        <v>14</v>
      </c>
      <c r="F17" s="14"/>
      <c r="G17" s="12" t="str">
        <f aca="true">IF(D17="","—",IF(D17&lt;TODAY(),"EXPIRÉ",IF(D17&lt;TODAY()+90,"URGENT &lt; 3 mois",IF(D17&lt;TODAY()+180,"Attention &lt; 6 mois","OK — "&amp;TEXT(D17,"MM/YYYY")))))</f>
        <v>—</v>
      </c>
      <c r="H17" s="15"/>
    </row>
    <row r="18" customFormat="false" ht="15.75" hidden="false" customHeight="true" outlineLevel="0" collapsed="false">
      <c r="A18" s="30" t="s">
        <v>119</v>
      </c>
      <c r="B18" s="30"/>
      <c r="C18" s="30"/>
      <c r="D18" s="30"/>
      <c r="E18" s="30"/>
      <c r="F18" s="30"/>
      <c r="G18" s="30"/>
      <c r="H18" s="30"/>
    </row>
    <row r="19" customFormat="false" ht="13.5" hidden="false" customHeight="true" outlineLevel="0" collapsed="false">
      <c r="A19" s="27" t="s">
        <v>120</v>
      </c>
      <c r="B19" s="15" t="s">
        <v>14</v>
      </c>
      <c r="C19" s="15"/>
      <c r="D19" s="14"/>
      <c r="E19" s="13" t="s">
        <v>14</v>
      </c>
      <c r="F19" s="14"/>
      <c r="G19" s="12" t="str">
        <f aca="true">IF(D19="","—",IF(D19&lt;TODAY(),"EXPIRÉ",IF(D19&lt;TODAY()+90,"URGENT &lt; 3 mois",IF(D19&lt;TODAY()+180,"Attention &lt; 6 mois","OK — "&amp;TEXT(D19,"MM/YYYY")))))</f>
        <v>—</v>
      </c>
      <c r="H19" s="15"/>
    </row>
    <row r="20" customFormat="false" ht="13.5" hidden="false" customHeight="true" outlineLevel="0" collapsed="false">
      <c r="A20" s="27" t="s">
        <v>121</v>
      </c>
      <c r="B20" s="15" t="s">
        <v>14</v>
      </c>
      <c r="C20" s="15"/>
      <c r="D20" s="14"/>
      <c r="E20" s="13" t="s">
        <v>14</v>
      </c>
      <c r="F20" s="14"/>
      <c r="G20" s="12" t="str">
        <f aca="true">IF(D20="","—",IF(D20&lt;TODAY(),"EXPIRÉ",IF(D20&lt;TODAY()+90,"URGENT &lt; 3 mois",IF(D20&lt;TODAY()+180,"Attention &lt; 6 mois","OK — "&amp;TEXT(D20,"MM/YYYY")))))</f>
        <v>—</v>
      </c>
      <c r="H20" s="15"/>
    </row>
    <row r="21" customFormat="false" ht="13.5" hidden="false" customHeight="true" outlineLevel="0" collapsed="false">
      <c r="A21" s="27" t="s">
        <v>122</v>
      </c>
      <c r="B21" s="15" t="s">
        <v>14</v>
      </c>
      <c r="C21" s="15"/>
      <c r="D21" s="14"/>
      <c r="E21" s="13" t="s">
        <v>14</v>
      </c>
      <c r="F21" s="14"/>
      <c r="G21" s="12" t="str">
        <f aca="true">IF(D21="","—",IF(D21&lt;TODAY(),"EXPIRÉ",IF(D21&lt;TODAY()+90,"URGENT &lt; 3 mois",IF(D21&lt;TODAY()+180,"Attention &lt; 6 mois","OK — "&amp;TEXT(D21,"MM/YYYY")))))</f>
        <v>—</v>
      </c>
      <c r="H21" s="15"/>
    </row>
    <row r="22" customFormat="false" ht="15.75" hidden="false" customHeight="true" outlineLevel="0" collapsed="false">
      <c r="A22" s="31" t="s">
        <v>123</v>
      </c>
      <c r="B22" s="31"/>
      <c r="C22" s="31"/>
      <c r="D22" s="31"/>
      <c r="E22" s="31"/>
      <c r="F22" s="31"/>
      <c r="G22" s="31"/>
      <c r="H22" s="31"/>
    </row>
    <row r="23" customFormat="false" ht="13.5" hidden="false" customHeight="true" outlineLevel="0" collapsed="false">
      <c r="A23" s="27" t="s">
        <v>124</v>
      </c>
      <c r="B23" s="15" t="s">
        <v>14</v>
      </c>
      <c r="C23" s="15"/>
      <c r="D23" s="14"/>
      <c r="E23" s="13" t="s">
        <v>14</v>
      </c>
      <c r="F23" s="14"/>
      <c r="G23" s="12" t="str">
        <f aca="true">IF(D23="","—",IF(D23&lt;TODAY(),"EXPIRÉ",IF(D23&lt;TODAY()+90,"URGENT &lt; 3 mois",IF(D23&lt;TODAY()+180,"Attention &lt; 6 mois","OK — "&amp;TEXT(D23,"MM/YYYY")))))</f>
        <v>—</v>
      </c>
      <c r="H23" s="15"/>
    </row>
    <row r="24" customFormat="false" ht="13.5" hidden="false" customHeight="true" outlineLevel="0" collapsed="false">
      <c r="A24" s="27" t="s">
        <v>125</v>
      </c>
      <c r="B24" s="15" t="s">
        <v>14</v>
      </c>
      <c r="C24" s="15"/>
      <c r="D24" s="14"/>
      <c r="E24" s="13" t="s">
        <v>14</v>
      </c>
      <c r="F24" s="14"/>
      <c r="G24" s="12" t="str">
        <f aca="true">IF(D24="","—",IF(D24&lt;TODAY(),"EXPIRÉ",IF(D24&lt;TODAY()+90,"URGENT &lt; 3 mois",IF(D24&lt;TODAY()+180,"Attention &lt; 6 mois","OK — "&amp;TEXT(D24,"MM/YYYY")))))</f>
        <v>—</v>
      </c>
      <c r="H24" s="15"/>
    </row>
    <row r="25" customFormat="false" ht="13.5" hidden="false" customHeight="true" outlineLevel="0" collapsed="false">
      <c r="A25" s="27" t="s">
        <v>118</v>
      </c>
      <c r="B25" s="15" t="s">
        <v>14</v>
      </c>
      <c r="C25" s="15"/>
      <c r="D25" s="14"/>
      <c r="E25" s="13" t="s">
        <v>14</v>
      </c>
      <c r="F25" s="14"/>
      <c r="G25" s="12" t="str">
        <f aca="true">IF(D25="","—",IF(D25&lt;TODAY(),"EXPIRÉ",IF(D25&lt;TODAY()+90,"URGENT &lt; 3 mois",IF(D25&lt;TODAY()+180,"Attention &lt; 6 mois","OK — "&amp;TEXT(D25,"MM/YYYY")))))</f>
        <v>—</v>
      </c>
      <c r="H25" s="15"/>
    </row>
    <row r="26" customFormat="false" ht="15.75" hidden="false" customHeight="true" outlineLevel="0" collapsed="false">
      <c r="A26" s="28" t="s">
        <v>126</v>
      </c>
      <c r="B26" s="28"/>
      <c r="C26" s="28"/>
      <c r="D26" s="28"/>
      <c r="E26" s="28"/>
      <c r="F26" s="28"/>
      <c r="G26" s="28"/>
      <c r="H26" s="28"/>
    </row>
    <row r="27" customFormat="false" ht="13.5" hidden="false" customHeight="true" outlineLevel="0" collapsed="false">
      <c r="A27" s="27" t="s">
        <v>127</v>
      </c>
      <c r="B27" s="15" t="s">
        <v>14</v>
      </c>
      <c r="C27" s="15"/>
      <c r="D27" s="14"/>
      <c r="E27" s="13" t="s">
        <v>14</v>
      </c>
      <c r="F27" s="14"/>
      <c r="G27" s="12" t="str">
        <f aca="true">IF(D27="","—",IF(D27&lt;TODAY(),"EXPIRÉ",IF(D27&lt;TODAY()+90,"URGENT &lt; 3 mois",IF(D27&lt;TODAY()+180,"Attention &lt; 6 mois","OK — "&amp;TEXT(D27,"MM/YYYY")))))</f>
        <v>—</v>
      </c>
      <c r="H27" s="15"/>
    </row>
    <row r="28" customFormat="false" ht="13.5" hidden="false" customHeight="true" outlineLevel="0" collapsed="false">
      <c r="A28" s="27" t="s">
        <v>128</v>
      </c>
      <c r="B28" s="15" t="s">
        <v>14</v>
      </c>
      <c r="C28" s="15"/>
      <c r="D28" s="14"/>
      <c r="E28" s="13" t="s">
        <v>14</v>
      </c>
      <c r="F28" s="14"/>
      <c r="G28" s="12" t="str">
        <f aca="true">IF(D28="","—",IF(D28&lt;TODAY(),"EXPIRÉ",IF(D28&lt;TODAY()+90,"URGENT &lt; 3 mois",IF(D28&lt;TODAY()+180,"Attention &lt; 6 mois","OK — "&amp;TEXT(D28,"MM/YYYY")))))</f>
        <v>—</v>
      </c>
      <c r="H28" s="15"/>
    </row>
    <row r="29" customFormat="false" ht="13.5" hidden="false" customHeight="true" outlineLevel="0" collapsed="false">
      <c r="A29" s="27" t="s">
        <v>129</v>
      </c>
      <c r="B29" s="15" t="s">
        <v>14</v>
      </c>
      <c r="C29" s="15"/>
      <c r="D29" s="14"/>
      <c r="E29" s="13" t="s">
        <v>14</v>
      </c>
      <c r="F29" s="14"/>
      <c r="G29" s="12" t="str">
        <f aca="true">IF(D29="","—",IF(D29&lt;TODAY(),"EXPIRÉ",IF(D29&lt;TODAY()+90,"URGENT &lt; 3 mois",IF(D29&lt;TODAY()+180,"Attention &lt; 6 mois","OK — "&amp;TEXT(D29,"MM/YYYY")))))</f>
        <v>—</v>
      </c>
      <c r="H29" s="15"/>
    </row>
    <row r="30" customFormat="false" ht="15.75" hidden="false" customHeight="true" outlineLevel="0" collapsed="false">
      <c r="A30" s="29" t="s">
        <v>130</v>
      </c>
      <c r="B30" s="29"/>
      <c r="C30" s="29"/>
      <c r="D30" s="29"/>
      <c r="E30" s="29"/>
      <c r="F30" s="29"/>
      <c r="G30" s="29"/>
      <c r="H30" s="29"/>
    </row>
    <row r="31" customFormat="false" ht="13.5" hidden="false" customHeight="true" outlineLevel="0" collapsed="false">
      <c r="A31" s="27" t="s">
        <v>131</v>
      </c>
      <c r="B31" s="15" t="s">
        <v>14</v>
      </c>
      <c r="C31" s="15"/>
      <c r="D31" s="14"/>
      <c r="E31" s="13" t="s">
        <v>14</v>
      </c>
      <c r="F31" s="14"/>
      <c r="G31" s="12" t="str">
        <f aca="true">IF(D31="","—",IF(D31&lt;TODAY(),"EXPIRÉ",IF(D31&lt;TODAY()+90,"URGENT &lt; 3 mois",IF(D31&lt;TODAY()+180,"Attention &lt; 6 mois","OK — "&amp;TEXT(D31,"MM/YYYY")))))</f>
        <v>—</v>
      </c>
      <c r="H31" s="15"/>
    </row>
    <row r="32" customFormat="false" ht="13.5" hidden="false" customHeight="true" outlineLevel="0" collapsed="false">
      <c r="A32" s="27" t="s">
        <v>132</v>
      </c>
      <c r="B32" s="15" t="s">
        <v>14</v>
      </c>
      <c r="C32" s="15"/>
      <c r="D32" s="14"/>
      <c r="E32" s="13" t="s">
        <v>14</v>
      </c>
      <c r="F32" s="14"/>
      <c r="G32" s="12" t="str">
        <f aca="true">IF(D32="","—",IF(D32&lt;TODAY(),"EXPIRÉ",IF(D32&lt;TODAY()+90,"URGENT &lt; 3 mois",IF(D32&lt;TODAY()+180,"Attention &lt; 6 mois","OK — "&amp;TEXT(D32,"MM/YYYY")))))</f>
        <v>—</v>
      </c>
      <c r="H32" s="15"/>
    </row>
    <row r="33" customFormat="false" ht="13.5" hidden="false" customHeight="true" outlineLevel="0" collapsed="false">
      <c r="A33" s="27" t="s">
        <v>133</v>
      </c>
      <c r="B33" s="15" t="s">
        <v>14</v>
      </c>
      <c r="C33" s="15"/>
      <c r="D33" s="14"/>
      <c r="E33" s="13" t="s">
        <v>14</v>
      </c>
      <c r="F33" s="14"/>
      <c r="G33" s="12" t="str">
        <f aca="true">IF(D33="","—",IF(D33&lt;TODAY(),"EXPIRÉ",IF(D33&lt;TODAY()+90,"URGENT &lt; 3 mois",IF(D33&lt;TODAY()+180,"Attention &lt; 6 mois","OK — "&amp;TEXT(D33,"MM/YYYY")))))</f>
        <v>—</v>
      </c>
      <c r="H33" s="15"/>
    </row>
    <row r="34" customFormat="false" ht="13.5" hidden="false" customHeight="true" outlineLevel="0" collapsed="false">
      <c r="A34" s="27" t="s">
        <v>118</v>
      </c>
      <c r="B34" s="15" t="s">
        <v>14</v>
      </c>
      <c r="C34" s="15"/>
      <c r="D34" s="14"/>
      <c r="E34" s="13" t="s">
        <v>14</v>
      </c>
      <c r="F34" s="14"/>
      <c r="G34" s="12" t="str">
        <f aca="true">IF(D34="","—",IF(D34&lt;TODAY(),"EXPIRÉ",IF(D34&lt;TODAY()+90,"URGENT &lt; 3 mois",IF(D34&lt;TODAY()+180,"Attention &lt; 6 mois","OK — "&amp;TEXT(D34,"MM/YYYY")))))</f>
        <v>—</v>
      </c>
      <c r="H34" s="15"/>
    </row>
    <row r="35" customFormat="false" ht="15.75" hidden="false" customHeight="true" outlineLevel="0" collapsed="false">
      <c r="A35" s="30" t="s">
        <v>134</v>
      </c>
      <c r="B35" s="30"/>
      <c r="C35" s="30"/>
      <c r="D35" s="30"/>
      <c r="E35" s="30"/>
      <c r="F35" s="30"/>
      <c r="G35" s="30"/>
      <c r="H35" s="30"/>
    </row>
    <row r="36" customFormat="false" ht="13.5" hidden="false" customHeight="true" outlineLevel="0" collapsed="false">
      <c r="A36" s="27" t="s">
        <v>135</v>
      </c>
      <c r="B36" s="15" t="s">
        <v>14</v>
      </c>
      <c r="C36" s="15"/>
      <c r="D36" s="14"/>
      <c r="E36" s="13" t="s">
        <v>14</v>
      </c>
      <c r="F36" s="14"/>
      <c r="G36" s="12" t="str">
        <f aca="true">IF(D36="","—",IF(D36&lt;TODAY(),"EXPIRÉ",IF(D36&lt;TODAY()+90,"URGENT &lt; 3 mois",IF(D36&lt;TODAY()+180,"Attention &lt; 6 mois","OK — "&amp;TEXT(D36,"MM/YYYY")))))</f>
        <v>—</v>
      </c>
      <c r="H36" s="15"/>
    </row>
    <row r="37" customFormat="false" ht="13.5" hidden="false" customHeight="true" outlineLevel="0" collapsed="false">
      <c r="A37" s="27" t="s">
        <v>136</v>
      </c>
      <c r="B37" s="15" t="s">
        <v>14</v>
      </c>
      <c r="C37" s="15"/>
      <c r="D37" s="14"/>
      <c r="E37" s="13" t="s">
        <v>14</v>
      </c>
      <c r="F37" s="14"/>
      <c r="G37" s="12" t="str">
        <f aca="true">IF(D37="","—",IF(D37&lt;TODAY(),"EXPIRÉ",IF(D37&lt;TODAY()+90,"URGENT &lt; 3 mois",IF(D37&lt;TODAY()+180,"Attention &lt; 6 mois","OK — "&amp;TEXT(D37,"MM/YYYY")))))</f>
        <v>—</v>
      </c>
      <c r="H37" s="15"/>
    </row>
    <row r="38" customFormat="false" ht="13.5" hidden="false" customHeight="true" outlineLevel="0" collapsed="false">
      <c r="A38" s="27" t="s">
        <v>137</v>
      </c>
      <c r="B38" s="15" t="s">
        <v>14</v>
      </c>
      <c r="C38" s="15"/>
      <c r="D38" s="14"/>
      <c r="E38" s="13" t="s">
        <v>14</v>
      </c>
      <c r="F38" s="14"/>
      <c r="G38" s="12" t="str">
        <f aca="true">IF(D38="","—",IF(D38&lt;TODAY(),"EXPIRÉ",IF(D38&lt;TODAY()+90,"URGENT &lt; 3 mois",IF(D38&lt;TODAY()+180,"Attention &lt; 6 mois","OK — "&amp;TEXT(D38,"MM/YYYY")))))</f>
        <v>—</v>
      </c>
      <c r="H38" s="15"/>
    </row>
    <row r="40" customFormat="false" ht="19.5" hidden="false" customHeight="true" outlineLevel="0" collapsed="false">
      <c r="A40" s="32" t="s">
        <v>138</v>
      </c>
      <c r="B40" s="32"/>
      <c r="C40" s="32"/>
      <c r="D40" s="32"/>
      <c r="E40" s="32"/>
      <c r="F40" s="32"/>
      <c r="G40" s="32"/>
      <c r="H40" s="32"/>
    </row>
    <row r="41" customFormat="false" ht="12.75" hidden="false" customHeight="true" outlineLevel="0" collapsed="false">
      <c r="A41" s="3" t="s">
        <v>139</v>
      </c>
      <c r="B41" s="3"/>
      <c r="C41" s="3"/>
      <c r="D41" s="3"/>
      <c r="E41" s="3"/>
      <c r="F41" s="3"/>
      <c r="G41" s="3"/>
      <c r="H41" s="3"/>
    </row>
    <row r="42" customFormat="false" ht="21.75" hidden="false" customHeight="true" outlineLevel="0" collapsed="false">
      <c r="A42" s="9" t="s">
        <v>140</v>
      </c>
      <c r="B42" s="9" t="s">
        <v>141</v>
      </c>
      <c r="C42" s="9" t="s">
        <v>142</v>
      </c>
      <c r="D42" s="9" t="s">
        <v>143</v>
      </c>
      <c r="E42" s="9" t="s">
        <v>144</v>
      </c>
      <c r="F42" s="9" t="s">
        <v>12</v>
      </c>
      <c r="G42" s="9"/>
      <c r="H42" s="9"/>
    </row>
    <row r="43" customFormat="false" ht="13.5" hidden="false" customHeight="true" outlineLevel="0" collapsed="false">
      <c r="A43" s="22" t="s">
        <v>145</v>
      </c>
      <c r="B43" s="10" t="n">
        <f aca="false">IDENTITE!B4</f>
        <v>0</v>
      </c>
      <c r="C43" s="15"/>
      <c r="D43" s="12" t="str">
        <f aca="false">IF(C43="","?",IF(C43=B43,"OK","ÉCART"))</f>
        <v>?</v>
      </c>
      <c r="E43" s="14"/>
      <c r="F43" s="33"/>
      <c r="G43" s="33"/>
      <c r="H43" s="33"/>
    </row>
    <row r="44" customFormat="false" ht="13.5" hidden="false" customHeight="true" outlineLevel="0" collapsed="false">
      <c r="A44" s="22" t="s">
        <v>146</v>
      </c>
      <c r="B44" s="10" t="n">
        <f aca="false">IDENTITE!B12</f>
        <v>0</v>
      </c>
      <c r="C44" s="15"/>
      <c r="D44" s="12" t="str">
        <f aca="false">IF(C44="","?",IF(C44=B44,"OK","ÉCART"))</f>
        <v>?</v>
      </c>
      <c r="E44" s="14"/>
      <c r="F44" s="33"/>
      <c r="G44" s="33"/>
      <c r="H44" s="33"/>
    </row>
    <row r="45" customFormat="false" ht="13.5" hidden="false" customHeight="true" outlineLevel="0" collapsed="false">
      <c r="A45" s="22" t="s">
        <v>147</v>
      </c>
      <c r="B45" s="10" t="n">
        <f aca="false">IDENTITE!B10</f>
        <v>0</v>
      </c>
      <c r="C45" s="15"/>
      <c r="D45" s="12" t="str">
        <f aca="false">IF(C45="","?",IF(C45=B45,"OK","ÉCART"))</f>
        <v>?</v>
      </c>
      <c r="E45" s="14"/>
      <c r="F45" s="33"/>
      <c r="G45" s="33"/>
      <c r="H45" s="33"/>
    </row>
    <row r="46" customFormat="false" ht="13.5" hidden="false" customHeight="true" outlineLevel="0" collapsed="false">
      <c r="A46" s="22" t="s">
        <v>55</v>
      </c>
      <c r="B46" s="10" t="n">
        <f aca="false">IDENTITE!B7</f>
        <v>0</v>
      </c>
      <c r="C46" s="15"/>
      <c r="D46" s="12" t="str">
        <f aca="false">IF(C46="","?",IF(C46=B46,"OK","ÉCART"))</f>
        <v>?</v>
      </c>
      <c r="E46" s="14"/>
      <c r="F46" s="33"/>
      <c r="G46" s="33"/>
      <c r="H46" s="33"/>
    </row>
    <row r="47" customFormat="false" ht="13.5" hidden="false" customHeight="true" outlineLevel="0" collapsed="false">
      <c r="A47" s="22" t="s">
        <v>148</v>
      </c>
      <c r="B47" s="10" t="str">
        <f aca="false">IDENTITE!E9</f>
        <v>CCN Spectacle vivant privé / CCN CCNEAC</v>
      </c>
      <c r="C47" s="15"/>
      <c r="D47" s="12" t="str">
        <f aca="false">IF(C47="","?",IF(C47=B47,"OK","ÉCART"))</f>
        <v>?</v>
      </c>
      <c r="E47" s="14"/>
      <c r="F47" s="33"/>
      <c r="G47" s="33"/>
      <c r="H47" s="33"/>
    </row>
    <row r="48" customFormat="false" ht="13.5" hidden="false" customHeight="true" outlineLevel="0" collapsed="false">
      <c r="A48" s="22" t="s">
        <v>13</v>
      </c>
      <c r="B48" s="10" t="n">
        <f aca="false">IDENTITE!E6</f>
        <v>0</v>
      </c>
      <c r="C48" s="15"/>
      <c r="D48" s="12" t="str">
        <f aca="false">IF(C48="","?",IF(C48=B48,"OK","ÉCART"))</f>
        <v>?</v>
      </c>
      <c r="E48" s="14"/>
      <c r="F48" s="33"/>
      <c r="G48" s="33"/>
      <c r="H48" s="33"/>
    </row>
    <row r="49" customFormat="false" ht="13.5" hidden="false" customHeight="true" outlineLevel="0" collapsed="false">
      <c r="A49" s="22" t="s">
        <v>81</v>
      </c>
      <c r="B49" s="10" t="n">
        <f aca="false">IDENTITE!B20</f>
        <v>0</v>
      </c>
      <c r="C49" s="15"/>
      <c r="D49" s="12" t="str">
        <f aca="false">IF(C49="","?",IF(C49=B49,"OK","ÉCART"))</f>
        <v>?</v>
      </c>
      <c r="E49" s="14"/>
      <c r="F49" s="33"/>
      <c r="G49" s="33"/>
      <c r="H49" s="33"/>
    </row>
  </sheetData>
  <mergeCells count="20">
    <mergeCell ref="A1:H1"/>
    <mergeCell ref="A2:H2"/>
    <mergeCell ref="A5:H5"/>
    <mergeCell ref="A9:H9"/>
    <mergeCell ref="A13:H13"/>
    <mergeCell ref="A18:H18"/>
    <mergeCell ref="A22:H22"/>
    <mergeCell ref="A26:H26"/>
    <mergeCell ref="A30:H30"/>
    <mergeCell ref="A35:H35"/>
    <mergeCell ref="A40:H40"/>
    <mergeCell ref="A41:H41"/>
    <mergeCell ref="F42:H42"/>
    <mergeCell ref="F43:H43"/>
    <mergeCell ref="F44:H44"/>
    <mergeCell ref="F45:H45"/>
    <mergeCell ref="F46:H46"/>
    <mergeCell ref="F47:H47"/>
    <mergeCell ref="F48:H48"/>
    <mergeCell ref="F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7" min="3" style="1" width="14"/>
  </cols>
  <sheetData>
    <row r="1" customFormat="false" ht="19.5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</row>
    <row r="2" customFormat="false" ht="12.75" hidden="false" customHeight="true" outlineLevel="0" collapsed="false">
      <c r="A2" s="3" t="s">
        <v>150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C3" s="34" t="s">
        <v>151</v>
      </c>
      <c r="D3" s="34" t="s">
        <v>152</v>
      </c>
      <c r="E3" s="34" t="s">
        <v>153</v>
      </c>
    </row>
    <row r="4" customFormat="false" ht="21.75" hidden="false" customHeight="true" outlineLevel="0" collapsed="false">
      <c r="A4" s="9" t="s">
        <v>154</v>
      </c>
      <c r="B4" s="9" t="s">
        <v>155</v>
      </c>
      <c r="C4" s="35" t="s">
        <v>156</v>
      </c>
      <c r="D4" s="35" t="s">
        <v>157</v>
      </c>
      <c r="E4" s="35" t="s">
        <v>158</v>
      </c>
      <c r="F4" s="9" t="s">
        <v>159</v>
      </c>
      <c r="G4" s="9" t="s">
        <v>160</v>
      </c>
    </row>
    <row r="5" customFormat="false" ht="19.5" hidden="false" customHeight="true" outlineLevel="0" collapsed="false">
      <c r="A5" s="20" t="s">
        <v>161</v>
      </c>
      <c r="B5" s="20"/>
      <c r="C5" s="20"/>
      <c r="D5" s="20"/>
      <c r="E5" s="20"/>
      <c r="F5" s="20"/>
      <c r="G5" s="20"/>
    </row>
    <row r="6" customFormat="false" ht="13.5" hidden="false" customHeight="true" outlineLevel="0" collapsed="false">
      <c r="A6" s="22" t="s">
        <v>77</v>
      </c>
      <c r="B6" s="15" t="s">
        <v>162</v>
      </c>
      <c r="C6" s="36"/>
      <c r="D6" s="36"/>
      <c r="E6" s="36"/>
      <c r="F6" s="37"/>
      <c r="G6" s="15"/>
    </row>
    <row r="7" customFormat="false" ht="13.5" hidden="false" customHeight="true" outlineLevel="0" collapsed="false">
      <c r="A7" s="22" t="s">
        <v>79</v>
      </c>
      <c r="B7" s="15" t="s">
        <v>162</v>
      </c>
      <c r="C7" s="36"/>
      <c r="D7" s="36"/>
      <c r="E7" s="36"/>
      <c r="F7" s="37"/>
      <c r="G7" s="15"/>
    </row>
    <row r="8" customFormat="false" ht="13.5" hidden="false" customHeight="true" outlineLevel="0" collapsed="false">
      <c r="A8" s="22" t="s">
        <v>163</v>
      </c>
      <c r="B8" s="15" t="s">
        <v>162</v>
      </c>
      <c r="C8" s="36"/>
      <c r="D8" s="36"/>
      <c r="E8" s="36"/>
      <c r="F8" s="37"/>
      <c r="G8" s="15"/>
    </row>
    <row r="9" customFormat="false" ht="13.5" hidden="false" customHeight="true" outlineLevel="0" collapsed="false">
      <c r="A9" s="22" t="s">
        <v>164</v>
      </c>
      <c r="B9" s="15" t="s">
        <v>162</v>
      </c>
      <c r="C9" s="36"/>
      <c r="D9" s="36"/>
      <c r="E9" s="36"/>
      <c r="F9" s="37"/>
      <c r="G9" s="15"/>
    </row>
    <row r="10" customFormat="false" ht="13.5" hidden="false" customHeight="true" outlineLevel="0" collapsed="false">
      <c r="A10" s="22" t="s">
        <v>165</v>
      </c>
      <c r="B10" s="15" t="s">
        <v>162</v>
      </c>
      <c r="C10" s="36"/>
      <c r="D10" s="36"/>
      <c r="E10" s="36"/>
      <c r="F10" s="37"/>
      <c r="G10" s="15"/>
    </row>
    <row r="11" customFormat="false" ht="13.5" hidden="false" customHeight="true" outlineLevel="0" collapsed="false">
      <c r="A11" s="22" t="s">
        <v>166</v>
      </c>
      <c r="B11" s="15" t="s">
        <v>162</v>
      </c>
      <c r="C11" s="36"/>
      <c r="D11" s="36"/>
      <c r="E11" s="36"/>
      <c r="F11" s="37"/>
      <c r="G11" s="15"/>
    </row>
    <row r="12" customFormat="false" ht="13.5" hidden="false" customHeight="true" outlineLevel="0" collapsed="false">
      <c r="A12" s="22" t="s">
        <v>167</v>
      </c>
      <c r="B12" s="15" t="s">
        <v>162</v>
      </c>
      <c r="C12" s="36"/>
      <c r="D12" s="36"/>
      <c r="E12" s="36"/>
      <c r="F12" s="37"/>
      <c r="G12" s="15"/>
    </row>
    <row r="13" customFormat="false" ht="13.5" hidden="false" customHeight="true" outlineLevel="0" collapsed="false">
      <c r="A13" s="22" t="s">
        <v>168</v>
      </c>
      <c r="B13" s="15" t="s">
        <v>162</v>
      </c>
      <c r="C13" s="36"/>
      <c r="D13" s="36"/>
      <c r="E13" s="36"/>
      <c r="F13" s="37"/>
      <c r="G13" s="15"/>
    </row>
    <row r="14" customFormat="false" ht="15.75" hidden="false" customHeight="true" outlineLevel="0" collapsed="false">
      <c r="A14" s="38" t="s">
        <v>169</v>
      </c>
      <c r="C14" s="39" t="n">
        <f aca="false">SUM(C6:C13)</f>
        <v>0</v>
      </c>
      <c r="D14" s="39" t="n">
        <f aca="false">SUM(D6:D13)</f>
        <v>0</v>
      </c>
      <c r="E14" s="39" t="n">
        <f aca="false">SUM(E6:E13)</f>
        <v>0</v>
      </c>
    </row>
    <row r="16" customFormat="false" ht="19.5" hidden="false" customHeight="true" outlineLevel="0" collapsed="false">
      <c r="A16" s="40" t="s">
        <v>170</v>
      </c>
      <c r="B16" s="40"/>
      <c r="C16" s="40"/>
      <c r="D16" s="40"/>
      <c r="E16" s="40"/>
      <c r="F16" s="40"/>
      <c r="G16" s="40"/>
    </row>
    <row r="17" customFormat="false" ht="13.5" hidden="false" customHeight="true" outlineLevel="0" collapsed="false">
      <c r="A17" s="22" t="s">
        <v>171</v>
      </c>
      <c r="B17" s="15" t="s">
        <v>172</v>
      </c>
      <c r="C17" s="36"/>
      <c r="D17" s="36"/>
      <c r="E17" s="36"/>
      <c r="F17" s="15"/>
      <c r="G17" s="15"/>
    </row>
    <row r="18" customFormat="false" ht="13.5" hidden="false" customHeight="true" outlineLevel="0" collapsed="false">
      <c r="A18" s="22" t="s">
        <v>173</v>
      </c>
      <c r="B18" s="15" t="s">
        <v>172</v>
      </c>
      <c r="C18" s="36"/>
      <c r="D18" s="36"/>
      <c r="E18" s="36"/>
      <c r="F18" s="15"/>
      <c r="G18" s="15"/>
    </row>
    <row r="19" customFormat="false" ht="13.5" hidden="false" customHeight="true" outlineLevel="0" collapsed="false">
      <c r="A19" s="22" t="s">
        <v>174</v>
      </c>
      <c r="B19" s="15" t="s">
        <v>172</v>
      </c>
      <c r="C19" s="36"/>
      <c r="D19" s="36"/>
      <c r="E19" s="36"/>
      <c r="F19" s="15"/>
      <c r="G19" s="15"/>
    </row>
    <row r="20" customFormat="false" ht="13.5" hidden="false" customHeight="true" outlineLevel="0" collapsed="false">
      <c r="A20" s="22" t="s">
        <v>175</v>
      </c>
      <c r="B20" s="15" t="s">
        <v>172</v>
      </c>
      <c r="C20" s="36"/>
      <c r="D20" s="36"/>
      <c r="E20" s="36"/>
      <c r="F20" s="15"/>
      <c r="G20" s="15"/>
    </row>
    <row r="21" customFormat="false" ht="15.75" hidden="false" customHeight="true" outlineLevel="0" collapsed="false">
      <c r="A21" s="41" t="s">
        <v>176</v>
      </c>
      <c r="C21" s="42" t="n">
        <f aca="false">SUM(C17:C20)</f>
        <v>0</v>
      </c>
      <c r="D21" s="42" t="n">
        <f aca="false">SUM(D17:D20)</f>
        <v>0</v>
      </c>
      <c r="E21" s="42" t="n">
        <f aca="false">SUM(E17:E20)</f>
        <v>0</v>
      </c>
    </row>
    <row r="23" customFormat="false" ht="19.5" hidden="false" customHeight="true" outlineLevel="0" collapsed="false">
      <c r="A23" s="43" t="s">
        <v>177</v>
      </c>
      <c r="B23" s="43"/>
      <c r="C23" s="43"/>
      <c r="D23" s="43"/>
      <c r="E23" s="43"/>
      <c r="F23" s="43"/>
      <c r="G23" s="43"/>
    </row>
    <row r="24" customFormat="false" ht="21.75" hidden="false" customHeight="true" outlineLevel="0" collapsed="false">
      <c r="A24" s="9" t="s">
        <v>178</v>
      </c>
      <c r="B24" s="9" t="s">
        <v>179</v>
      </c>
      <c r="C24" s="9" t="s">
        <v>180</v>
      </c>
      <c r="D24" s="9" t="s">
        <v>181</v>
      </c>
      <c r="E24" s="9" t="s">
        <v>182</v>
      </c>
      <c r="F24" s="9" t="s">
        <v>183</v>
      </c>
      <c r="G24" s="9" t="s">
        <v>160</v>
      </c>
    </row>
    <row r="25" customFormat="false" ht="13.5" hidden="false" customHeight="true" outlineLevel="0" collapsed="false">
      <c r="A25" s="22" t="s">
        <v>184</v>
      </c>
      <c r="B25" s="15"/>
      <c r="C25" s="44"/>
      <c r="D25" s="44"/>
      <c r="E25" s="44"/>
      <c r="F25" s="45" t="n">
        <f aca="false">IF(D25=0,0,D25*11.88)</f>
        <v>0</v>
      </c>
      <c r="G25" s="15"/>
    </row>
    <row r="26" customFormat="false" ht="13.5" hidden="false" customHeight="true" outlineLevel="0" collapsed="false">
      <c r="A26" s="22" t="s">
        <v>185</v>
      </c>
      <c r="B26" s="15"/>
      <c r="C26" s="44"/>
      <c r="D26" s="44"/>
      <c r="E26" s="44"/>
      <c r="F26" s="45" t="n">
        <f aca="false">IF(D26=0,0,D26*11.88)</f>
        <v>0</v>
      </c>
      <c r="G26" s="15"/>
    </row>
    <row r="27" customFormat="false" ht="13.5" hidden="false" customHeight="true" outlineLevel="0" collapsed="false">
      <c r="A27" s="22" t="s">
        <v>186</v>
      </c>
      <c r="B27" s="15"/>
      <c r="C27" s="44"/>
      <c r="D27" s="44"/>
      <c r="E27" s="44"/>
      <c r="F27" s="45" t="n">
        <f aca="false">IF(D27=0,0,D27*11.88)</f>
        <v>0</v>
      </c>
      <c r="G27" s="15"/>
    </row>
    <row r="28" customFormat="false" ht="13.5" hidden="false" customHeight="true" outlineLevel="0" collapsed="false">
      <c r="A28" s="22" t="s">
        <v>187</v>
      </c>
      <c r="B28" s="15"/>
      <c r="C28" s="44"/>
      <c r="D28" s="44"/>
      <c r="E28" s="44"/>
      <c r="F28" s="45" t="n">
        <f aca="false">IF(D28=0,0,D28*11.88)</f>
        <v>0</v>
      </c>
      <c r="G28" s="15"/>
    </row>
    <row r="29" customFormat="false" ht="13.5" hidden="false" customHeight="true" outlineLevel="0" collapsed="false">
      <c r="A29" s="22" t="s">
        <v>188</v>
      </c>
      <c r="B29" s="15"/>
      <c r="C29" s="44"/>
      <c r="D29" s="44"/>
      <c r="E29" s="44"/>
      <c r="F29" s="45" t="n">
        <f aca="false">IF(D29=0,0,D29*11.88)</f>
        <v>0</v>
      </c>
      <c r="G29" s="15"/>
    </row>
    <row r="30" customFormat="false" ht="13.5" hidden="false" customHeight="true" outlineLevel="0" collapsed="false">
      <c r="A30" s="22" t="s">
        <v>189</v>
      </c>
      <c r="B30" s="15"/>
      <c r="C30" s="44"/>
      <c r="D30" s="44"/>
      <c r="E30" s="44"/>
      <c r="F30" s="45" t="n">
        <f aca="false">IF(D30=0,0,D30*11.88)</f>
        <v>0</v>
      </c>
      <c r="G30" s="15"/>
    </row>
    <row r="31" customFormat="false" ht="15.75" hidden="false" customHeight="true" outlineLevel="0" collapsed="false">
      <c r="A31" s="46" t="s">
        <v>190</v>
      </c>
      <c r="C31" s="47" t="n">
        <f aca="false">SUM(C25:C30)</f>
        <v>0</v>
      </c>
      <c r="D31" s="47" t="n">
        <f aca="false">SUM(D25:D30)</f>
        <v>0</v>
      </c>
      <c r="E31" s="47" t="n">
        <f aca="false">SUM(E25:E30)</f>
        <v>0</v>
      </c>
      <c r="F31" s="48" t="n">
        <f aca="false">SUM(F25:F30)</f>
        <v>0</v>
      </c>
    </row>
    <row r="33" customFormat="false" ht="19.5" hidden="false" customHeight="true" outlineLevel="0" collapsed="false">
      <c r="A33" s="32" t="s">
        <v>191</v>
      </c>
      <c r="B33" s="32"/>
      <c r="C33" s="32"/>
      <c r="D33" s="32"/>
      <c r="E33" s="32"/>
      <c r="F33" s="32"/>
      <c r="G33" s="32"/>
    </row>
    <row r="34" customFormat="false" ht="21.75" hidden="false" customHeight="true" outlineLevel="0" collapsed="false">
      <c r="A34" s="9" t="s">
        <v>192</v>
      </c>
      <c r="C34" s="35" t="s">
        <v>193</v>
      </c>
      <c r="D34" s="35" t="s">
        <v>194</v>
      </c>
      <c r="E34" s="35" t="s">
        <v>195</v>
      </c>
      <c r="F34" s="9" t="s">
        <v>196</v>
      </c>
      <c r="G34" s="9" t="s">
        <v>29</v>
      </c>
    </row>
    <row r="35" customFormat="false" ht="13.5" hidden="false" customHeight="true" outlineLevel="0" collapsed="false">
      <c r="A35" s="4" t="s">
        <v>197</v>
      </c>
      <c r="C35" s="39" t="n">
        <f aca="false">C14</f>
        <v>0</v>
      </c>
      <c r="D35" s="39" t="n">
        <f aca="false">D14</f>
        <v>0</v>
      </c>
      <c r="E35" s="39" t="n">
        <f aca="false">E14</f>
        <v>0</v>
      </c>
      <c r="F35" s="49" t="s">
        <v>198</v>
      </c>
    </row>
    <row r="36" customFormat="false" ht="13.5" hidden="false" customHeight="true" outlineLevel="0" collapsed="false">
      <c r="A36" s="4" t="s">
        <v>199</v>
      </c>
      <c r="C36" s="39" t="n">
        <f aca="false">C21</f>
        <v>0</v>
      </c>
      <c r="D36" s="39" t="n">
        <f aca="false">D21</f>
        <v>0</v>
      </c>
      <c r="E36" s="39" t="n">
        <f aca="false">E21</f>
        <v>0</v>
      </c>
      <c r="F36" s="49" t="s">
        <v>198</v>
      </c>
    </row>
    <row r="37" customFormat="false" ht="13.5" hidden="false" customHeight="true" outlineLevel="0" collapsed="false">
      <c r="A37" s="4" t="s">
        <v>200</v>
      </c>
      <c r="C37" s="39" t="n">
        <f aca="false">C35+C36</f>
        <v>0</v>
      </c>
      <c r="D37" s="39" t="n">
        <f aca="false">D35+D36</f>
        <v>0</v>
      </c>
      <c r="E37" s="39" t="n">
        <f aca="false">E35+E36</f>
        <v>0</v>
      </c>
      <c r="F37" s="49" t="s">
        <v>198</v>
      </c>
    </row>
    <row r="39" customFormat="false" ht="13.5" hidden="false" customHeight="true" outlineLevel="0" collapsed="false">
      <c r="A39" s="4" t="s">
        <v>201</v>
      </c>
      <c r="D39" s="50"/>
    </row>
    <row r="40" customFormat="false" ht="13.5" hidden="false" customHeight="true" outlineLevel="0" collapsed="false">
      <c r="A40" s="4" t="s">
        <v>202</v>
      </c>
      <c r="D40" s="45" t="n">
        <f aca="false">D39*0.43</f>
        <v>0</v>
      </c>
    </row>
    <row r="41" customFormat="false" ht="18" hidden="false" customHeight="true" outlineLevel="0" collapsed="false">
      <c r="A41" s="51" t="s">
        <v>203</v>
      </c>
      <c r="D41" s="52" t="n">
        <f aca="false">D39+D40</f>
        <v>0</v>
      </c>
    </row>
  </sheetData>
  <mergeCells count="6">
    <mergeCell ref="A1:G1"/>
    <mergeCell ref="A2:G2"/>
    <mergeCell ref="A5:G5"/>
    <mergeCell ref="A16:G16"/>
    <mergeCell ref="A23:G23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204</v>
      </c>
      <c r="B1" s="2"/>
      <c r="C1" s="2"/>
      <c r="D1" s="2"/>
      <c r="E1" s="2"/>
      <c r="F1" s="2"/>
    </row>
    <row r="2" customFormat="false" ht="12.75" hidden="false" customHeight="true" outlineLevel="0" collapsed="false">
      <c r="A2" s="3" t="s">
        <v>205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53" t="s">
        <v>206</v>
      </c>
      <c r="C4" s="35" t="s">
        <v>207</v>
      </c>
      <c r="D4" s="35" t="s">
        <v>208</v>
      </c>
      <c r="E4" s="35" t="s">
        <v>209</v>
      </c>
      <c r="F4" s="9" t="s">
        <v>210</v>
      </c>
    </row>
    <row r="5" customFormat="false" ht="12.75" hidden="false" customHeight="true" outlineLevel="0" collapsed="false">
      <c r="A5" s="22" t="s">
        <v>211</v>
      </c>
    </row>
    <row r="6" customFormat="false" ht="12.75" hidden="false" customHeight="true" outlineLevel="0" collapsed="false">
      <c r="A6" s="27" t="s">
        <v>212</v>
      </c>
      <c r="C6" s="54"/>
      <c r="D6" s="54"/>
      <c r="E6" s="54"/>
      <c r="F6" s="15"/>
    </row>
    <row r="7" customFormat="false" ht="12.75" hidden="false" customHeight="true" outlineLevel="0" collapsed="false">
      <c r="A7" s="27" t="s">
        <v>213</v>
      </c>
      <c r="C7" s="54"/>
      <c r="D7" s="54"/>
      <c r="E7" s="54"/>
      <c r="F7" s="15"/>
    </row>
    <row r="8" customFormat="false" ht="12.75" hidden="false" customHeight="true" outlineLevel="0" collapsed="false">
      <c r="A8" s="22" t="s">
        <v>214</v>
      </c>
    </row>
    <row r="9" customFormat="false" ht="12.75" hidden="false" customHeight="true" outlineLevel="0" collapsed="false">
      <c r="A9" s="27" t="s">
        <v>215</v>
      </c>
      <c r="C9" s="54"/>
      <c r="D9" s="54"/>
      <c r="E9" s="54"/>
      <c r="F9" s="15"/>
    </row>
    <row r="10" customFormat="false" ht="12.75" hidden="false" customHeight="true" outlineLevel="0" collapsed="false">
      <c r="A10" s="27" t="s">
        <v>216</v>
      </c>
      <c r="C10" s="54"/>
      <c r="D10" s="54"/>
      <c r="E10" s="54"/>
      <c r="F10" s="15"/>
    </row>
    <row r="11" customFormat="false" ht="12.75" hidden="false" customHeight="true" outlineLevel="0" collapsed="false">
      <c r="A11" s="27" t="s">
        <v>217</v>
      </c>
      <c r="C11" s="54"/>
      <c r="D11" s="54"/>
      <c r="E11" s="54"/>
      <c r="F11" s="15"/>
    </row>
    <row r="12" customFormat="false" ht="12.75" hidden="false" customHeight="true" outlineLevel="0" collapsed="false">
      <c r="A12" s="27" t="s">
        <v>218</v>
      </c>
      <c r="C12" s="54"/>
      <c r="D12" s="54"/>
      <c r="E12" s="54"/>
      <c r="F12" s="15"/>
    </row>
    <row r="13" customFormat="false" ht="12.75" hidden="false" customHeight="true" outlineLevel="0" collapsed="false">
      <c r="A13" s="27" t="s">
        <v>219</v>
      </c>
      <c r="C13" s="54"/>
      <c r="D13" s="54"/>
      <c r="E13" s="54"/>
      <c r="F13" s="15"/>
    </row>
    <row r="14" customFormat="false" ht="12.75" hidden="false" customHeight="true" outlineLevel="0" collapsed="false">
      <c r="A14" s="27" t="s">
        <v>220</v>
      </c>
      <c r="C14" s="54"/>
      <c r="D14" s="54"/>
      <c r="E14" s="54"/>
      <c r="F14" s="15"/>
    </row>
    <row r="15" customFormat="false" ht="12.75" hidden="false" customHeight="true" outlineLevel="0" collapsed="false">
      <c r="A15" s="27" t="s">
        <v>221</v>
      </c>
      <c r="C15" s="54"/>
      <c r="D15" s="54"/>
      <c r="E15" s="54"/>
      <c r="F15" s="15"/>
    </row>
    <row r="16" customFormat="false" ht="12.75" hidden="false" customHeight="true" outlineLevel="0" collapsed="false">
      <c r="A16" s="22" t="s">
        <v>222</v>
      </c>
    </row>
    <row r="17" customFormat="false" ht="12.75" hidden="false" customHeight="true" outlineLevel="0" collapsed="false">
      <c r="A17" s="27" t="s">
        <v>223</v>
      </c>
      <c r="C17" s="54"/>
      <c r="D17" s="54"/>
      <c r="E17" s="54"/>
      <c r="F17" s="15"/>
    </row>
    <row r="18" customFormat="false" ht="12.75" hidden="false" customHeight="true" outlineLevel="0" collapsed="false">
      <c r="A18" s="27" t="s">
        <v>224</v>
      </c>
      <c r="C18" s="54"/>
      <c r="D18" s="54"/>
      <c r="E18" s="54"/>
      <c r="F18" s="15"/>
    </row>
    <row r="19" customFormat="false" ht="18" hidden="false" customHeight="true" outlineLevel="0" collapsed="false">
      <c r="A19" s="55" t="s">
        <v>225</v>
      </c>
      <c r="C19" s="56" t="n">
        <f aca="false">C6+C7+C9+C10+C11+C12+C13+C14+C15+C17+C18</f>
        <v>0</v>
      </c>
      <c r="D19" s="56" t="n">
        <f aca="false">D6+D7+D9+D10+D11+D12+D13+D14+D15+D17+D18</f>
        <v>0</v>
      </c>
      <c r="E19" s="56" t="n">
        <f aca="false">E6+E7+E9+E10+E11+E12+E13+E14+E15+E17+E18</f>
        <v>0</v>
      </c>
    </row>
    <row r="21" customFormat="false" ht="21.75" hidden="false" customHeight="true" outlineLevel="0" collapsed="false">
      <c r="A21" s="57" t="s">
        <v>226</v>
      </c>
      <c r="C21" s="35" t="s">
        <v>207</v>
      </c>
      <c r="D21" s="35" t="s">
        <v>208</v>
      </c>
      <c r="E21" s="35" t="s">
        <v>209</v>
      </c>
      <c r="F21" s="9" t="s">
        <v>210</v>
      </c>
    </row>
    <row r="22" customFormat="false" ht="12.75" hidden="false" customHeight="true" outlineLevel="0" collapsed="false">
      <c r="A22" s="22" t="s">
        <v>227</v>
      </c>
    </row>
    <row r="23" customFormat="false" ht="12.75" hidden="false" customHeight="true" outlineLevel="0" collapsed="false">
      <c r="A23" s="27" t="s">
        <v>228</v>
      </c>
      <c r="C23" s="54"/>
      <c r="D23" s="54"/>
      <c r="E23" s="54"/>
      <c r="F23" s="15"/>
    </row>
    <row r="24" customFormat="false" ht="12.75" hidden="false" customHeight="true" outlineLevel="0" collapsed="false">
      <c r="A24" s="22" t="s">
        <v>229</v>
      </c>
    </row>
    <row r="25" customFormat="false" ht="12.75" hidden="false" customHeight="true" outlineLevel="0" collapsed="false">
      <c r="A25" s="27" t="s">
        <v>230</v>
      </c>
      <c r="C25" s="54"/>
      <c r="D25" s="54"/>
      <c r="E25" s="54"/>
      <c r="F25" s="15"/>
    </row>
    <row r="26" customFormat="false" ht="12.75" hidden="false" customHeight="true" outlineLevel="0" collapsed="false">
      <c r="A26" s="27" t="s">
        <v>231</v>
      </c>
      <c r="C26" s="54"/>
      <c r="D26" s="54"/>
      <c r="E26" s="54"/>
      <c r="F26" s="15"/>
    </row>
    <row r="27" customFormat="false" ht="12.75" hidden="false" customHeight="true" outlineLevel="0" collapsed="false">
      <c r="A27" s="27" t="s">
        <v>232</v>
      </c>
      <c r="C27" s="54"/>
      <c r="D27" s="54"/>
      <c r="E27" s="54"/>
      <c r="F27" s="15"/>
    </row>
    <row r="28" customFormat="false" ht="12.75" hidden="false" customHeight="true" outlineLevel="0" collapsed="false">
      <c r="A28" s="27" t="s">
        <v>233</v>
      </c>
      <c r="C28" s="54"/>
      <c r="D28" s="54"/>
      <c r="E28" s="54"/>
      <c r="F28" s="15"/>
    </row>
    <row r="29" customFormat="false" ht="12.75" hidden="false" customHeight="true" outlineLevel="0" collapsed="false">
      <c r="A29" s="27" t="s">
        <v>234</v>
      </c>
      <c r="C29" s="54"/>
      <c r="D29" s="54"/>
      <c r="E29" s="54"/>
      <c r="F29" s="15"/>
    </row>
    <row r="30" customFormat="false" ht="12.75" hidden="false" customHeight="true" outlineLevel="0" collapsed="false">
      <c r="A30" s="27" t="s">
        <v>235</v>
      </c>
      <c r="C30" s="54"/>
      <c r="D30" s="54"/>
      <c r="E30" s="54"/>
      <c r="F30" s="15"/>
    </row>
    <row r="31" customFormat="false" ht="12.75" hidden="false" customHeight="true" outlineLevel="0" collapsed="false">
      <c r="A31" s="22" t="s">
        <v>236</v>
      </c>
    </row>
    <row r="32" customFormat="false" ht="12.75" hidden="false" customHeight="true" outlineLevel="0" collapsed="false">
      <c r="A32" s="27" t="s">
        <v>237</v>
      </c>
      <c r="C32" s="54"/>
      <c r="D32" s="54"/>
      <c r="E32" s="54"/>
      <c r="F32" s="15"/>
    </row>
    <row r="33" customFormat="false" ht="12.75" hidden="false" customHeight="true" outlineLevel="0" collapsed="false">
      <c r="A33" s="27" t="s">
        <v>238</v>
      </c>
      <c r="C33" s="54"/>
      <c r="D33" s="54"/>
      <c r="E33" s="54"/>
      <c r="F33" s="15"/>
    </row>
    <row r="34" customFormat="false" ht="12.75" hidden="false" customHeight="true" outlineLevel="0" collapsed="false">
      <c r="A34" s="22" t="s">
        <v>239</v>
      </c>
    </row>
    <row r="35" customFormat="false" ht="12.75" hidden="false" customHeight="true" outlineLevel="0" collapsed="false">
      <c r="A35" s="27" t="s">
        <v>240</v>
      </c>
      <c r="C35" s="54"/>
      <c r="D35" s="54"/>
      <c r="E35" s="54"/>
      <c r="F35" s="15"/>
    </row>
    <row r="36" customFormat="false" ht="12.75" hidden="false" customHeight="true" outlineLevel="0" collapsed="false">
      <c r="A36" s="27" t="s">
        <v>241</v>
      </c>
      <c r="C36" s="54"/>
      <c r="D36" s="54"/>
      <c r="E36" s="54"/>
      <c r="F36" s="15"/>
    </row>
    <row r="37" customFormat="false" ht="12.75" hidden="false" customHeight="true" outlineLevel="0" collapsed="false">
      <c r="A37" s="22" t="s">
        <v>242</v>
      </c>
    </row>
    <row r="38" customFormat="false" ht="12.75" hidden="false" customHeight="true" outlineLevel="0" collapsed="false">
      <c r="A38" s="27" t="s">
        <v>243</v>
      </c>
      <c r="C38" s="54"/>
      <c r="D38" s="54"/>
      <c r="E38" s="54"/>
      <c r="F38" s="15"/>
    </row>
    <row r="39" customFormat="false" ht="18" hidden="false" customHeight="true" outlineLevel="0" collapsed="false">
      <c r="A39" s="58" t="s">
        <v>244</v>
      </c>
      <c r="C39" s="59" t="n">
        <f aca="false">C23+C25+C26+C27+C28+C29+C30+C32+C33+C35+C36+C38</f>
        <v>0</v>
      </c>
      <c r="D39" s="59" t="n">
        <f aca="false">D23+D25+D26+D27+D28+D29+D30+D32+D33+D35+D36+D38</f>
        <v>0</v>
      </c>
      <c r="E39" s="59" t="n">
        <f aca="false">E23+E25+E26+E27+E28+E29+E30+E32+E33+E35+E36+E38</f>
        <v>0</v>
      </c>
    </row>
    <row r="41" customFormat="false" ht="18" hidden="false" customHeight="true" outlineLevel="0" collapsed="false">
      <c r="A41" s="60" t="s">
        <v>245</v>
      </c>
      <c r="C41" s="61" t="n">
        <f aca="false">C19-C39</f>
        <v>0</v>
      </c>
      <c r="D41" s="61" t="n">
        <f aca="false">D19-D39</f>
        <v>0</v>
      </c>
      <c r="E41" s="61" t="n">
        <f aca="false">E19-E39</f>
        <v>0</v>
      </c>
    </row>
    <row r="43" customFormat="false" ht="19.5" hidden="false" customHeight="true" outlineLevel="0" collapsed="false">
      <c r="A43" s="24" t="s">
        <v>246</v>
      </c>
      <c r="B43" s="24"/>
      <c r="C43" s="24"/>
      <c r="D43" s="24"/>
      <c r="E43" s="24"/>
      <c r="F43" s="24"/>
    </row>
    <row r="44" customFormat="false" ht="13.5" hidden="false" customHeight="true" outlineLevel="0" collapsed="false">
      <c r="A44" s="22" t="s">
        <v>247</v>
      </c>
      <c r="B44" s="62" t="s">
        <v>248</v>
      </c>
      <c r="C44" s="54"/>
      <c r="D44" s="54"/>
      <c r="E44" s="54"/>
      <c r="F44" s="15"/>
    </row>
    <row r="45" customFormat="false" ht="13.5" hidden="false" customHeight="true" outlineLevel="0" collapsed="false">
      <c r="A45" s="22" t="s">
        <v>249</v>
      </c>
      <c r="B45" s="62" t="s">
        <v>250</v>
      </c>
      <c r="C45" s="54"/>
      <c r="D45" s="54"/>
      <c r="E45" s="54"/>
      <c r="F45" s="15"/>
    </row>
    <row r="46" customFormat="false" ht="13.5" hidden="false" customHeight="true" outlineLevel="0" collapsed="false">
      <c r="A46" s="22" t="s">
        <v>43</v>
      </c>
      <c r="B46" s="62" t="s">
        <v>251</v>
      </c>
      <c r="C46" s="54"/>
      <c r="D46" s="54"/>
      <c r="E46" s="54"/>
      <c r="F46" s="15"/>
    </row>
    <row r="47" customFormat="false" ht="13.5" hidden="false" customHeight="true" outlineLevel="0" collapsed="false">
      <c r="A47" s="22" t="s">
        <v>252</v>
      </c>
      <c r="B47" s="62" t="s">
        <v>253</v>
      </c>
      <c r="C47" s="54"/>
      <c r="D47" s="54"/>
      <c r="E47" s="54"/>
      <c r="F47" s="15"/>
    </row>
  </sheetData>
  <mergeCells count="3">
    <mergeCell ref="A1:F1"/>
    <mergeCell ref="A2:F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9.5" hidden="false" customHeight="true" outlineLevel="0" collapsed="false">
      <c r="A1" s="2" t="s">
        <v>254</v>
      </c>
      <c r="B1" s="2"/>
      <c r="C1" s="2"/>
      <c r="D1" s="2"/>
      <c r="E1" s="2"/>
      <c r="F1" s="2"/>
    </row>
    <row r="2" customFormat="false" ht="12.75" hidden="false" customHeight="true" outlineLevel="0" collapsed="false">
      <c r="A2" s="3" t="s">
        <v>255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9" t="s">
        <v>256</v>
      </c>
      <c r="B4" s="9" t="s">
        <v>257</v>
      </c>
      <c r="C4" s="9" t="s">
        <v>258</v>
      </c>
      <c r="D4" s="9" t="s">
        <v>259</v>
      </c>
      <c r="E4" s="9" t="s">
        <v>260</v>
      </c>
      <c r="F4" s="9" t="s">
        <v>261</v>
      </c>
    </row>
    <row r="5" customFormat="false" ht="15.75" hidden="false" customHeight="true" outlineLevel="0" collapsed="false">
      <c r="A5" s="63" t="s">
        <v>262</v>
      </c>
      <c r="B5" s="63"/>
      <c r="C5" s="63"/>
      <c r="D5" s="63"/>
      <c r="E5" s="63"/>
      <c r="F5" s="63"/>
    </row>
    <row r="6" customFormat="false" ht="13.5" hidden="false" customHeight="true" outlineLevel="0" collapsed="false">
      <c r="A6" s="27" t="s">
        <v>263</v>
      </c>
      <c r="B6" s="64" t="s">
        <v>264</v>
      </c>
      <c r="C6" s="65" t="s">
        <v>265</v>
      </c>
      <c r="D6" s="13" t="s">
        <v>266</v>
      </c>
      <c r="E6" s="14"/>
      <c r="F6" s="49" t="s">
        <v>267</v>
      </c>
    </row>
    <row r="7" customFormat="false" ht="13.5" hidden="false" customHeight="true" outlineLevel="0" collapsed="false">
      <c r="A7" s="27" t="s">
        <v>268</v>
      </c>
      <c r="B7" s="64" t="s">
        <v>264</v>
      </c>
      <c r="C7" s="65" t="s">
        <v>265</v>
      </c>
      <c r="D7" s="13" t="s">
        <v>266</v>
      </c>
      <c r="E7" s="14"/>
      <c r="F7" s="49" t="s">
        <v>269</v>
      </c>
    </row>
    <row r="8" customFormat="false" ht="13.5" hidden="false" customHeight="true" outlineLevel="0" collapsed="false">
      <c r="A8" s="27" t="s">
        <v>270</v>
      </c>
      <c r="B8" s="64" t="s">
        <v>264</v>
      </c>
      <c r="C8" s="65" t="s">
        <v>265</v>
      </c>
      <c r="D8" s="13" t="s">
        <v>266</v>
      </c>
      <c r="E8" s="14"/>
      <c r="F8" s="49" t="s">
        <v>267</v>
      </c>
    </row>
    <row r="9" customFormat="false" ht="13.5" hidden="false" customHeight="true" outlineLevel="0" collapsed="false">
      <c r="A9" s="27" t="s">
        <v>271</v>
      </c>
      <c r="B9" s="64" t="s">
        <v>264</v>
      </c>
      <c r="C9" s="65" t="s">
        <v>265</v>
      </c>
      <c r="D9" s="13" t="s">
        <v>266</v>
      </c>
      <c r="E9" s="14"/>
      <c r="F9" s="49" t="s">
        <v>267</v>
      </c>
    </row>
    <row r="10" customFormat="false" ht="13.5" hidden="false" customHeight="true" outlineLevel="0" collapsed="false">
      <c r="A10" s="27" t="s">
        <v>272</v>
      </c>
      <c r="B10" s="64" t="s">
        <v>264</v>
      </c>
      <c r="C10" s="65" t="s">
        <v>273</v>
      </c>
      <c r="D10" s="13" t="s">
        <v>266</v>
      </c>
      <c r="E10" s="14"/>
      <c r="F10" s="49" t="s">
        <v>267</v>
      </c>
    </row>
    <row r="11" customFormat="false" ht="13.5" hidden="false" customHeight="true" outlineLevel="0" collapsed="false">
      <c r="A11" s="27" t="s">
        <v>274</v>
      </c>
      <c r="B11" s="64" t="s">
        <v>264</v>
      </c>
      <c r="C11" s="65" t="s">
        <v>265</v>
      </c>
      <c r="D11" s="13" t="s">
        <v>266</v>
      </c>
      <c r="E11" s="14"/>
      <c r="F11" s="49" t="s">
        <v>275</v>
      </c>
    </row>
    <row r="12" customFormat="false" ht="13.5" hidden="false" customHeight="true" outlineLevel="0" collapsed="false">
      <c r="A12" s="27" t="s">
        <v>276</v>
      </c>
      <c r="B12" s="64" t="s">
        <v>264</v>
      </c>
      <c r="C12" s="65" t="s">
        <v>265</v>
      </c>
      <c r="D12" s="13" t="s">
        <v>266</v>
      </c>
      <c r="E12" s="14"/>
      <c r="F12" s="49" t="s">
        <v>277</v>
      </c>
    </row>
    <row r="13" customFormat="false" ht="15.75" hidden="false" customHeight="true" outlineLevel="0" collapsed="false">
      <c r="A13" s="66" t="s">
        <v>278</v>
      </c>
      <c r="B13" s="66"/>
      <c r="C13" s="66"/>
      <c r="D13" s="66"/>
      <c r="E13" s="66"/>
      <c r="F13" s="66"/>
    </row>
    <row r="14" customFormat="false" ht="13.5" hidden="false" customHeight="true" outlineLevel="0" collapsed="false">
      <c r="A14" s="27" t="s">
        <v>279</v>
      </c>
      <c r="B14" s="64" t="s">
        <v>264</v>
      </c>
      <c r="C14" s="65" t="s">
        <v>265</v>
      </c>
      <c r="D14" s="13" t="s">
        <v>266</v>
      </c>
      <c r="E14" s="14"/>
      <c r="F14" s="49" t="s">
        <v>280</v>
      </c>
    </row>
    <row r="15" customFormat="false" ht="13.5" hidden="false" customHeight="true" outlineLevel="0" collapsed="false">
      <c r="A15" s="27" t="s">
        <v>281</v>
      </c>
      <c r="B15" s="67" t="s">
        <v>282</v>
      </c>
      <c r="C15" s="65" t="s">
        <v>265</v>
      </c>
      <c r="D15" s="13" t="s">
        <v>266</v>
      </c>
      <c r="E15" s="14"/>
      <c r="F15" s="49" t="s">
        <v>267</v>
      </c>
    </row>
    <row r="16" customFormat="false" ht="13.5" hidden="false" customHeight="true" outlineLevel="0" collapsed="false">
      <c r="A16" s="27" t="s">
        <v>283</v>
      </c>
      <c r="B16" s="67" t="s">
        <v>282</v>
      </c>
      <c r="C16" s="65" t="s">
        <v>265</v>
      </c>
      <c r="D16" s="13" t="s">
        <v>266</v>
      </c>
      <c r="E16" s="14"/>
      <c r="F16" s="49" t="s">
        <v>284</v>
      </c>
    </row>
    <row r="17" customFormat="false" ht="15.75" hidden="false" customHeight="true" outlineLevel="0" collapsed="false">
      <c r="A17" s="68" t="s">
        <v>285</v>
      </c>
      <c r="B17" s="68"/>
      <c r="C17" s="68"/>
      <c r="D17" s="68"/>
      <c r="E17" s="68"/>
      <c r="F17" s="68"/>
    </row>
    <row r="18" customFormat="false" ht="13.5" hidden="false" customHeight="true" outlineLevel="0" collapsed="false">
      <c r="A18" s="27" t="s">
        <v>286</v>
      </c>
      <c r="B18" s="64" t="s">
        <v>264</v>
      </c>
      <c r="C18" s="65" t="s">
        <v>287</v>
      </c>
      <c r="D18" s="13" t="s">
        <v>266</v>
      </c>
      <c r="E18" s="14"/>
      <c r="F18" s="49" t="s">
        <v>288</v>
      </c>
    </row>
    <row r="19" customFormat="false" ht="13.5" hidden="false" customHeight="true" outlineLevel="0" collapsed="false">
      <c r="A19" s="27" t="s">
        <v>289</v>
      </c>
      <c r="B19" s="64" t="s">
        <v>264</v>
      </c>
      <c r="C19" s="65" t="s">
        <v>287</v>
      </c>
      <c r="D19" s="13" t="s">
        <v>266</v>
      </c>
      <c r="E19" s="14"/>
      <c r="F19" s="49" t="s">
        <v>288</v>
      </c>
    </row>
    <row r="20" customFormat="false" ht="13.5" hidden="false" customHeight="true" outlineLevel="0" collapsed="false">
      <c r="A20" s="27" t="s">
        <v>290</v>
      </c>
      <c r="B20" s="67" t="s">
        <v>291</v>
      </c>
      <c r="C20" s="65" t="s">
        <v>287</v>
      </c>
      <c r="D20" s="13" t="s">
        <v>266</v>
      </c>
      <c r="E20" s="14"/>
      <c r="F20" s="49" t="s">
        <v>292</v>
      </c>
    </row>
    <row r="21" customFormat="false" ht="13.5" hidden="false" customHeight="true" outlineLevel="0" collapsed="false">
      <c r="A21" s="27" t="s">
        <v>293</v>
      </c>
      <c r="B21" s="64" t="s">
        <v>264</v>
      </c>
      <c r="C21" s="65" t="s">
        <v>294</v>
      </c>
      <c r="D21" s="13" t="s">
        <v>266</v>
      </c>
      <c r="E21" s="14"/>
      <c r="F21" s="49" t="s">
        <v>267</v>
      </c>
    </row>
    <row r="22" customFormat="false" ht="13.5" hidden="false" customHeight="true" outlineLevel="0" collapsed="false">
      <c r="A22" s="27" t="s">
        <v>295</v>
      </c>
      <c r="B22" s="67" t="s">
        <v>296</v>
      </c>
      <c r="C22" s="65" t="s">
        <v>287</v>
      </c>
      <c r="D22" s="13" t="s">
        <v>266</v>
      </c>
      <c r="E22" s="14"/>
      <c r="F22" s="49" t="s">
        <v>297</v>
      </c>
    </row>
    <row r="23" customFormat="false" ht="13.5" hidden="false" customHeight="true" outlineLevel="0" collapsed="false">
      <c r="A23" s="27" t="s">
        <v>298</v>
      </c>
      <c r="B23" s="69" t="s">
        <v>299</v>
      </c>
      <c r="C23" s="65" t="s">
        <v>265</v>
      </c>
      <c r="D23" s="13" t="s">
        <v>266</v>
      </c>
      <c r="E23" s="14"/>
      <c r="F23" s="49" t="s">
        <v>300</v>
      </c>
    </row>
    <row r="24" customFormat="false" ht="15.75" hidden="false" customHeight="true" outlineLevel="0" collapsed="false">
      <c r="A24" s="63" t="s">
        <v>301</v>
      </c>
      <c r="B24" s="63"/>
      <c r="C24" s="63"/>
      <c r="D24" s="63"/>
      <c r="E24" s="63"/>
      <c r="F24" s="63"/>
    </row>
    <row r="25" customFormat="false" ht="13.5" hidden="false" customHeight="true" outlineLevel="0" collapsed="false">
      <c r="A25" s="27" t="s">
        <v>302</v>
      </c>
      <c r="B25" s="69" t="s">
        <v>303</v>
      </c>
      <c r="C25" s="65" t="s">
        <v>265</v>
      </c>
      <c r="D25" s="13" t="s">
        <v>266</v>
      </c>
      <c r="E25" s="14"/>
      <c r="F25" s="49" t="s">
        <v>304</v>
      </c>
    </row>
    <row r="26" customFormat="false" ht="13.5" hidden="false" customHeight="true" outlineLevel="0" collapsed="false">
      <c r="A26" s="27" t="s">
        <v>305</v>
      </c>
      <c r="B26" s="67" t="s">
        <v>282</v>
      </c>
      <c r="C26" s="65" t="s">
        <v>306</v>
      </c>
      <c r="D26" s="13" t="s">
        <v>266</v>
      </c>
      <c r="E26" s="14"/>
      <c r="F26" s="49" t="s">
        <v>307</v>
      </c>
    </row>
    <row r="27" customFormat="false" ht="13.5" hidden="false" customHeight="true" outlineLevel="0" collapsed="false">
      <c r="A27" s="27" t="s">
        <v>308</v>
      </c>
      <c r="B27" s="67" t="s">
        <v>282</v>
      </c>
      <c r="C27" s="65" t="s">
        <v>306</v>
      </c>
      <c r="D27" s="13" t="s">
        <v>266</v>
      </c>
      <c r="E27" s="14"/>
      <c r="F27" s="49" t="s">
        <v>309</v>
      </c>
    </row>
    <row r="28" customFormat="false" ht="13.5" hidden="false" customHeight="true" outlineLevel="0" collapsed="false">
      <c r="A28" s="27" t="s">
        <v>310</v>
      </c>
      <c r="B28" s="67" t="s">
        <v>282</v>
      </c>
      <c r="C28" s="65" t="s">
        <v>306</v>
      </c>
      <c r="D28" s="13" t="s">
        <v>266</v>
      </c>
      <c r="E28" s="14"/>
      <c r="F28" s="49" t="s">
        <v>311</v>
      </c>
    </row>
    <row r="29" customFormat="false" ht="13.5" hidden="false" customHeight="true" outlineLevel="0" collapsed="false">
      <c r="A29" s="27" t="s">
        <v>312</v>
      </c>
      <c r="B29" s="67" t="s">
        <v>282</v>
      </c>
      <c r="C29" s="65" t="s">
        <v>306</v>
      </c>
      <c r="D29" s="13" t="s">
        <v>266</v>
      </c>
      <c r="E29" s="14"/>
      <c r="F29" s="49" t="s">
        <v>313</v>
      </c>
    </row>
    <row r="30" customFormat="false" ht="13.5" hidden="false" customHeight="true" outlineLevel="0" collapsed="false">
      <c r="A30" s="27" t="s">
        <v>84</v>
      </c>
      <c r="B30" s="69" t="s">
        <v>314</v>
      </c>
      <c r="C30" s="65" t="s">
        <v>265</v>
      </c>
      <c r="D30" s="13" t="s">
        <v>266</v>
      </c>
      <c r="E30" s="14"/>
      <c r="F30" s="49" t="s">
        <v>315</v>
      </c>
    </row>
    <row r="31" customFormat="false" ht="13.5" hidden="false" customHeight="true" outlineLevel="0" collapsed="false">
      <c r="A31" s="27" t="s">
        <v>58</v>
      </c>
      <c r="B31" s="64" t="s">
        <v>264</v>
      </c>
      <c r="C31" s="65" t="s">
        <v>316</v>
      </c>
      <c r="D31" s="13" t="s">
        <v>266</v>
      </c>
      <c r="E31" s="14"/>
      <c r="F31" s="49" t="s">
        <v>317</v>
      </c>
    </row>
    <row r="32" customFormat="false" ht="15.75" hidden="false" customHeight="true" outlineLevel="0" collapsed="false">
      <c r="A32" s="70" t="s">
        <v>318</v>
      </c>
      <c r="B32" s="70"/>
      <c r="C32" s="70"/>
      <c r="D32" s="70"/>
      <c r="E32" s="70"/>
      <c r="F32" s="70"/>
    </row>
    <row r="33" customFormat="false" ht="13.5" hidden="false" customHeight="true" outlineLevel="0" collapsed="false">
      <c r="A33" s="27" t="s">
        <v>319</v>
      </c>
      <c r="B33" s="64" t="s">
        <v>264</v>
      </c>
      <c r="C33" s="65" t="s">
        <v>265</v>
      </c>
      <c r="D33" s="13" t="s">
        <v>266</v>
      </c>
      <c r="E33" s="14"/>
      <c r="F33" s="49" t="s">
        <v>320</v>
      </c>
    </row>
    <row r="34" customFormat="false" ht="13.5" hidden="false" customHeight="true" outlineLevel="0" collapsed="false">
      <c r="A34" s="27" t="s">
        <v>321</v>
      </c>
      <c r="B34" s="64" t="s">
        <v>264</v>
      </c>
      <c r="C34" s="65" t="s">
        <v>265</v>
      </c>
      <c r="D34" s="13" t="s">
        <v>266</v>
      </c>
      <c r="E34" s="14"/>
      <c r="F34" s="49" t="s">
        <v>267</v>
      </c>
    </row>
    <row r="35" customFormat="false" ht="13.5" hidden="false" customHeight="true" outlineLevel="0" collapsed="false">
      <c r="A35" s="27" t="s">
        <v>322</v>
      </c>
      <c r="B35" s="64" t="s">
        <v>264</v>
      </c>
      <c r="C35" s="65" t="s">
        <v>294</v>
      </c>
      <c r="D35" s="13" t="s">
        <v>266</v>
      </c>
      <c r="E35" s="14"/>
      <c r="F35" s="49" t="s">
        <v>323</v>
      </c>
    </row>
    <row r="36" customFormat="false" ht="13.5" hidden="false" customHeight="true" outlineLevel="0" collapsed="false">
      <c r="A36" s="27" t="s">
        <v>324</v>
      </c>
      <c r="B36" s="64" t="s">
        <v>264</v>
      </c>
      <c r="C36" s="65" t="s">
        <v>265</v>
      </c>
      <c r="D36" s="13" t="s">
        <v>266</v>
      </c>
      <c r="E36" s="14"/>
      <c r="F36" s="49" t="s">
        <v>300</v>
      </c>
    </row>
    <row r="37" customFormat="false" ht="13.5" hidden="false" customHeight="true" outlineLevel="0" collapsed="false">
      <c r="A37" s="27" t="s">
        <v>325</v>
      </c>
      <c r="B37" s="69" t="s">
        <v>326</v>
      </c>
      <c r="C37" s="65" t="s">
        <v>265</v>
      </c>
      <c r="D37" s="13" t="s">
        <v>266</v>
      </c>
      <c r="E37" s="14"/>
      <c r="F37" s="49" t="s">
        <v>327</v>
      </c>
    </row>
    <row r="38" customFormat="false" ht="13.5" hidden="false" customHeight="true" outlineLevel="0" collapsed="false">
      <c r="A38" s="27" t="s">
        <v>328</v>
      </c>
      <c r="B38" s="67" t="s">
        <v>282</v>
      </c>
      <c r="C38" s="65" t="s">
        <v>265</v>
      </c>
      <c r="D38" s="13" t="s">
        <v>266</v>
      </c>
      <c r="E38" s="14"/>
      <c r="F38" s="49" t="s">
        <v>329</v>
      </c>
    </row>
    <row r="39" customFormat="false" ht="13.5" hidden="false" customHeight="true" outlineLevel="0" collapsed="false">
      <c r="A39" s="27" t="s">
        <v>330</v>
      </c>
      <c r="B39" s="67" t="s">
        <v>296</v>
      </c>
      <c r="C39" s="65" t="s">
        <v>265</v>
      </c>
      <c r="D39" s="13" t="s">
        <v>266</v>
      </c>
      <c r="E39" s="14"/>
      <c r="F39" s="49" t="s">
        <v>331</v>
      </c>
    </row>
    <row r="41" customFormat="false" ht="19.5" hidden="false" customHeight="true" outlineLevel="0" collapsed="false">
      <c r="A41" s="71" t="str">
        <f aca="false">"Complétion : "&amp;COUNTIF(D5:D40,"Oui")&amp;" / "&amp;COUNTA(D5:D40)&amp;" documents reçus ("&amp;TEXT(COUNTIF(D5:D40,"Oui")/COUNTA(D5:D40),"0%")&amp;")"</f>
        <v>Complétion : 0 / 30 documents reçus (0%)</v>
      </c>
      <c r="B41" s="71"/>
      <c r="C41" s="71"/>
      <c r="D41" s="71"/>
      <c r="E41" s="71"/>
      <c r="F41" s="71"/>
    </row>
  </sheetData>
  <mergeCells count="8">
    <mergeCell ref="A1:F1"/>
    <mergeCell ref="A2:F2"/>
    <mergeCell ref="A5:F5"/>
    <mergeCell ref="A13:F13"/>
    <mergeCell ref="A17:F17"/>
    <mergeCell ref="A24:F24"/>
    <mergeCell ref="A32:F32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2026-03-20T12:15:45Z</dcterms:created>
  <dc:creator>openpyxl</dc:creator>
  <dc:description/>
  <dc:language>en-US</dc:language>
  <cp:lastModifiedBy/>
  <dcterms:modified xsi:type="dcterms:W3CDTF">2026-03-20T12:16:06Z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