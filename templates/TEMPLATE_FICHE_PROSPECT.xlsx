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CHE PROJET" sheetId="1" state="visible" r:id="rId1"/>
    <sheet xmlns:r="http://schemas.openxmlformats.org/officeDocument/2006/relationships" name="ARTISTES" sheetId="2" state="visible" r:id="rId2"/>
    <sheet xmlns:r="http://schemas.openxmlformats.org/officeDocument/2006/relationships" name="BUDGET MAITRE" sheetId="3" state="visible" r:id="rId3"/>
    <sheet xmlns:r="http://schemas.openxmlformats.org/officeDocument/2006/relationships" name="FAISABILIT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&quot; €&quot;;\(#,##0&quot; €)&quot;;\-"/>
    <numFmt numFmtId="165" formatCode="#,##0&quot; €&quot;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888780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8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3B6D11"/>
      <sz val="8"/>
    </font>
    <font>
      <name val="Arial"/>
      <charset val="1"/>
      <family val="0"/>
      <b val="1"/>
      <color rgb="FFC45E00"/>
      <sz val="8"/>
    </font>
    <font>
      <name val="Arial"/>
      <charset val="1"/>
      <family val="0"/>
      <b val="1"/>
      <color rgb="FF854F0B"/>
      <sz val="8"/>
    </font>
    <font>
      <name val="Arial"/>
      <charset val="1"/>
      <family val="0"/>
      <color rgb="FFC45E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8000"/>
      <sz val="9"/>
    </font>
    <font>
      <name val="Arial"/>
      <charset val="1"/>
      <family val="0"/>
      <b val="1"/>
      <color rgb="FF4A2C82"/>
      <sz val="9"/>
    </font>
    <font>
      <name val="Arial"/>
      <charset val="1"/>
      <family val="0"/>
      <b val="1"/>
      <color rgb="FF185FA5"/>
      <sz val="9"/>
    </font>
    <font>
      <name val="Arial"/>
      <charset val="1"/>
      <family val="0"/>
      <sz val="8"/>
    </font>
    <font>
      <name val="Arial"/>
      <charset val="1"/>
      <family val="0"/>
      <b val="1"/>
      <color rgb="FF444441"/>
      <sz val="8"/>
    </font>
    <font>
      <name val="Arial"/>
      <charset val="1"/>
      <family val="0"/>
      <b val="1"/>
      <color rgb="FF444441"/>
      <sz val="9"/>
    </font>
    <font>
      <name val="Arial"/>
      <charset val="1"/>
      <family val="0"/>
      <b val="1"/>
      <color rgb="FF185FA5"/>
      <sz val="8"/>
    </font>
    <font>
      <name val="Arial"/>
      <charset val="1"/>
      <family val="0"/>
      <i val="1"/>
      <color rgb="FFC45E00"/>
      <sz val="8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444441"/>
      <sz val="8"/>
    </font>
    <font>
      <name val="Arial"/>
      <charset val="1"/>
      <family val="0"/>
      <b val="1"/>
      <color rgb="FFC45E00"/>
      <sz val="9"/>
    </font>
    <font>
      <name val="Arial"/>
      <charset val="1"/>
      <family val="0"/>
      <i val="1"/>
      <color rgb="FF000000"/>
      <sz val="8"/>
    </font>
    <font>
      <name val="Arial"/>
      <charset val="1"/>
      <family val="0"/>
      <b val="1"/>
      <color rgb="FFA32D2D"/>
      <sz val="8"/>
    </font>
    <font>
      <name val="Arial"/>
      <charset val="1"/>
      <family val="0"/>
      <b val="1"/>
      <color rgb="FFA32D2D"/>
      <sz val="9"/>
    </font>
    <font>
      <name val="Arial"/>
      <charset val="1"/>
      <family val="0"/>
      <b val="1"/>
      <color rgb="FF3B6D11"/>
      <sz val="9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8000"/>
      <sz val="8"/>
    </font>
    <font>
      <name val="Arial"/>
      <charset val="1"/>
      <family val="0"/>
      <color rgb="FF3B6D11"/>
      <sz val="8"/>
    </font>
    <font>
      <name val="Arial"/>
      <charset val="1"/>
      <family val="0"/>
      <color rgb="FFC45E00"/>
      <sz val="8"/>
    </font>
  </fonts>
  <fills count="15">
    <fill>
      <patternFill/>
    </fill>
    <fill>
      <patternFill patternType="gray125"/>
    </fill>
    <fill>
      <patternFill patternType="solid">
        <fgColor rgb="FF4A2C82"/>
        <bgColor rgb="FF444441"/>
      </patternFill>
    </fill>
    <fill>
      <patternFill patternType="solid">
        <fgColor rgb="FF0F6E56"/>
        <bgColor rgb="FF008080"/>
      </patternFill>
    </fill>
    <fill>
      <patternFill patternType="solid">
        <fgColor rgb="FFF1EFE8"/>
        <bgColor rgb="FFEAF3DE"/>
      </patternFill>
    </fill>
    <fill>
      <patternFill patternType="solid">
        <fgColor rgb="FFFFFEF0"/>
        <bgColor rgb="FFFFFFFF"/>
      </patternFill>
    </fill>
    <fill>
      <patternFill patternType="solid">
        <fgColor rgb="FFEAF3DE"/>
        <bgColor rgb="FFF1EFE8"/>
      </patternFill>
    </fill>
    <fill>
      <patternFill patternType="solid">
        <fgColor rgb="FFFFF3E0"/>
        <bgColor rgb="FFFAEEDA"/>
      </patternFill>
    </fill>
    <fill>
      <patternFill patternType="solid">
        <fgColor rgb="FFFAEEDA"/>
        <bgColor rgb="FFFFF3E0"/>
      </patternFill>
    </fill>
    <fill>
      <patternFill patternType="solid">
        <fgColor rgb="FF185FA5"/>
        <bgColor rgb="FF0F6E56"/>
      </patternFill>
    </fill>
    <fill>
      <patternFill patternType="solid">
        <fgColor rgb="FFE6F1FB"/>
        <bgColor rgb="FFEDE9F6"/>
      </patternFill>
    </fill>
    <fill>
      <patternFill patternType="solid">
        <fgColor rgb="FFC45E00"/>
        <bgColor rgb="FF854F0B"/>
      </patternFill>
    </fill>
    <fill>
      <patternFill patternType="solid">
        <fgColor rgb="FFEDE9F6"/>
        <bgColor rgb="FFF1EFE8"/>
      </patternFill>
    </fill>
    <fill>
      <patternFill patternType="solid">
        <fgColor rgb="FF444441"/>
        <bgColor rgb="FF333300"/>
      </patternFill>
    </fill>
    <fill>
      <patternFill patternType="solid">
        <fgColor rgb="FFA32D2D"/>
        <bgColor rgb="FF99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6" fillId="11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/>
    </xf>
    <xf numFmtId="165" fontId="18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 indent="2"/>
    </xf>
    <xf numFmtId="164" fontId="8" fillId="5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left" vertical="center"/>
    </xf>
    <xf numFmtId="165" fontId="24" fillId="4" borderId="0" applyAlignment="1" pivotButton="0" quotePrefix="0" xfId="0">
      <alignment horizontal="right" vertical="center"/>
    </xf>
    <xf numFmtId="0" fontId="25" fillId="10" borderId="0" applyAlignment="1" pivotButton="0" quotePrefix="0" xfId="0">
      <alignment horizontal="left" vertical="center"/>
    </xf>
    <xf numFmtId="165" fontId="21" fillId="10" borderId="0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wrapText="1" indent="2"/>
    </xf>
    <xf numFmtId="164" fontId="13" fillId="5" borderId="1" applyAlignment="1" pivotButton="0" quotePrefix="0" xfId="0">
      <alignment horizontal="right" vertical="center"/>
    </xf>
    <xf numFmtId="0" fontId="26" fillId="7" borderId="0" applyAlignment="1" pivotButton="0" quotePrefix="0" xfId="0">
      <alignment horizontal="left" vertical="center" wrapText="1" indent="2"/>
    </xf>
    <xf numFmtId="165" fontId="8" fillId="0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/>
    </xf>
    <xf numFmtId="165" fontId="18" fillId="2" borderId="0" applyAlignment="1" pivotButton="0" quotePrefix="0" xfId="0">
      <alignment horizontal="right" vertical="center"/>
    </xf>
    <xf numFmtId="0" fontId="18" fillId="9" borderId="0" applyAlignment="1" pivotButton="0" quotePrefix="0" xfId="0">
      <alignment horizontal="left" vertical="center"/>
    </xf>
    <xf numFmtId="165" fontId="18" fillId="9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/>
    </xf>
    <xf numFmtId="0" fontId="27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1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general" vertical="bottom"/>
    </xf>
    <xf numFmtId="0" fontId="18" fillId="2" borderId="0" applyAlignment="1" pivotButton="0" quotePrefix="0" xfId="0">
      <alignment horizontal="center" vertical="center" wrapText="1"/>
    </xf>
    <xf numFmtId="0" fontId="36" fillId="6" borderId="0" applyAlignment="1" pivotButton="0" quotePrefix="0" xfId="0">
      <alignment horizontal="left" vertical="top" wrapText="1"/>
    </xf>
    <xf numFmtId="0" fontId="37" fillId="7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6" fillId="11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/>
    </xf>
    <xf numFmtId="165" fontId="18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 indent="2"/>
    </xf>
    <xf numFmtId="164" fontId="8" fillId="5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left" vertical="center"/>
    </xf>
    <xf numFmtId="165" fontId="24" fillId="4" borderId="0" applyAlignment="1" pivotButton="0" quotePrefix="0" xfId="0">
      <alignment horizontal="right" vertical="center"/>
    </xf>
    <xf numFmtId="0" fontId="25" fillId="10" borderId="0" applyAlignment="1" pivotButton="0" quotePrefix="0" xfId="0">
      <alignment horizontal="left" vertical="center"/>
    </xf>
    <xf numFmtId="165" fontId="21" fillId="10" borderId="0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wrapText="1" indent="2"/>
    </xf>
    <xf numFmtId="164" fontId="13" fillId="5" borderId="1" applyAlignment="1" pivotButton="0" quotePrefix="0" xfId="0">
      <alignment horizontal="right" vertical="center"/>
    </xf>
    <xf numFmtId="0" fontId="26" fillId="7" borderId="0" applyAlignment="1" pivotButton="0" quotePrefix="0" xfId="0">
      <alignment horizontal="left" vertical="center" wrapText="1" indent="2"/>
    </xf>
    <xf numFmtId="165" fontId="8" fillId="0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/>
    </xf>
    <xf numFmtId="165" fontId="18" fillId="2" borderId="0" applyAlignment="1" pivotButton="0" quotePrefix="0" xfId="0">
      <alignment horizontal="right" vertical="center"/>
    </xf>
    <xf numFmtId="0" fontId="18" fillId="9" borderId="0" applyAlignment="1" pivotButton="0" quotePrefix="0" xfId="0">
      <alignment horizontal="left" vertical="center"/>
    </xf>
    <xf numFmtId="165" fontId="18" fillId="9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/>
    </xf>
    <xf numFmtId="0" fontId="27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1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general" vertical="bottom"/>
    </xf>
    <xf numFmtId="0" fontId="18" fillId="2" borderId="0" applyAlignment="1" pivotButton="0" quotePrefix="0" xfId="0">
      <alignment horizontal="center" vertical="center" wrapText="1"/>
    </xf>
    <xf numFmtId="0" fontId="36" fillId="6" borderId="0" applyAlignment="1" pivotButton="0" quotePrefix="0" xfId="0">
      <alignment horizontal="left" vertical="top" wrapText="1"/>
    </xf>
    <xf numFmtId="0" fontId="37" fillId="7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88780"/>
      <rgbColor rgb="FF9999FF"/>
      <rgbColor rgb="FF993366"/>
      <rgbColor rgb="FFFFF3E0"/>
      <rgbColor rgb="FFE6F1FB"/>
      <rgbColor rgb="FF660066"/>
      <rgbColor rgb="FFFF8080"/>
      <rgbColor rgb="FF185FA5"/>
      <rgbColor rgb="FFEDE9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AEEDA"/>
      <rgbColor rgb="FF99CCFF"/>
      <rgbColor rgb="FFFF99CC"/>
      <rgbColor rgb="FFCC99FF"/>
      <rgbColor rgb="FFFFFEF0"/>
      <rgbColor rgb="FF3366FF"/>
      <rgbColor rgb="FF33CCCC"/>
      <rgbColor rgb="FF99CC00"/>
      <rgbColor rgb="FFFFCC00"/>
      <rgbColor rgb="FFFF9900"/>
      <rgbColor rgb="FFC45E00"/>
      <rgbColor rgb="FF666699"/>
      <rgbColor rgb="FF969696"/>
      <rgbColor rgb="FF003366"/>
      <rgbColor rgb="FF3B6D11"/>
      <rgbColor rgb="FF003300"/>
      <rgbColor rgb="FF333300"/>
      <rgbColor rgb="FFA32D2D"/>
      <rgbColor rgb="FF993366"/>
      <rgbColor rgb="FF4A2C82"/>
      <rgbColor rgb="FF4444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76" min="1" max="1"/>
    <col width="30" customWidth="1" style="76" min="2" max="2"/>
    <col width="4" customWidth="1" style="76" min="3" max="3"/>
    <col width="36" customWidth="1" style="76" min="4" max="4"/>
    <col width="30" customWidth="1" style="76" min="5" max="5"/>
  </cols>
  <sheetData>
    <row r="1" ht="19.5" customHeight="1" s="77">
      <c r="A1" s="78" t="inlineStr">
        <is>
          <t>FICHE DE COLLECTE PROSPECT — [Nom du projet]</t>
        </is>
      </c>
    </row>
    <row r="2" ht="12.75" customHeight="1" s="77">
      <c r="A2" s="79" t="inlineStr">
        <is>
          <t>Vert = pré-rempli depuis dossier  |  Orange = à demander  |  Bleu = à saisir</t>
        </is>
      </c>
    </row>
    <row r="4" ht="19.5" customHeight="1" s="77">
      <c r="A4" s="80" t="inlineStr">
        <is>
          <t>STRUCTURE PORTEUSE — Infos disponibles</t>
        </is>
      </c>
      <c r="D4" s="81" t="inlineStr">
        <is>
          <t>SCORING FAISABILITÉ RAPIDE</t>
        </is>
      </c>
      <c r="E4" s="81" t="inlineStr">
        <is>
          <t>Évaluation</t>
        </is>
      </c>
    </row>
    <row r="5" ht="13.5" customHeight="1" s="77">
      <c r="A5" s="82" t="inlineStr">
        <is>
          <t>Association</t>
        </is>
      </c>
      <c r="B5" s="83" t="n"/>
      <c r="D5" s="84" t="inlineStr">
        <is>
          <t>Historique d'éditions (5 ans, 4 éd.)</t>
        </is>
      </c>
      <c r="E5" s="85" t="inlineStr">
        <is>
          <t>✅ Très solide</t>
        </is>
      </c>
    </row>
    <row r="6" ht="13.5" customHeight="1" s="77">
      <c r="A6" s="82" t="inlineStr">
        <is>
          <t>SIRET</t>
        </is>
      </c>
      <c r="B6" s="83" t="n"/>
      <c r="D6" s="84" t="inlineStr">
        <is>
          <t>Partenaire lieu La Place confirmé</t>
        </is>
      </c>
      <c r="E6" s="85" t="inlineStr">
        <is>
          <t>✅ Partenaire historique</t>
        </is>
      </c>
    </row>
    <row r="7" ht="13.5" customHeight="1" s="77">
      <c r="A7" s="82" t="inlineStr">
        <is>
          <t>Licence spectacle</t>
        </is>
      </c>
      <c r="B7" s="83" t="n"/>
      <c r="D7" s="84" t="inlineStr">
        <is>
          <t>Line-up ~18 artistes identifiés</t>
        </is>
      </c>
      <c r="E7" s="85" t="inlineStr">
        <is>
          <t>✅ Dossier complet</t>
        </is>
      </c>
    </row>
    <row r="8" ht="13.5" customHeight="1" s="77">
      <c r="A8" s="82" t="inlineStr">
        <is>
          <t>Siège social</t>
        </is>
      </c>
      <c r="B8" s="83" t="n"/>
      <c r="D8" s="84" t="inlineStr">
        <is>
          <t>Licence entrepreneur du spectacle</t>
        </is>
      </c>
      <c r="E8" s="85" t="inlineStr">
        <is>
          <t>✅ PLATESV-D-2025-001444</t>
        </is>
      </c>
    </row>
    <row r="9" ht="13.5" customHeight="1" s="77">
      <c r="A9" s="82" t="inlineStr">
        <is>
          <t>Présidente</t>
        </is>
      </c>
      <c r="B9" s="83" t="n"/>
      <c r="D9" s="84" t="inlineStr">
        <is>
          <t>Structure juridique (asso sept 2024)</t>
        </is>
      </c>
      <c r="E9" s="86" t="inlineStr">
        <is>
          <t>⚠️ Récente, peu d'historique</t>
        </is>
      </c>
    </row>
    <row r="10" ht="13.5" customHeight="1" s="77">
      <c r="A10" s="82" t="inlineStr">
        <is>
          <t>Contact prod</t>
        </is>
      </c>
      <c r="B10" s="83" t="n"/>
      <c r="D10" s="84" t="inlineStr">
        <is>
          <t>Trésorerie asso</t>
        </is>
      </c>
      <c r="E10" s="87" t="inlineStr">
        <is>
          <t>❓ Non communiquée</t>
        </is>
      </c>
    </row>
    <row r="11" ht="15" customHeight="1" s="77">
      <c r="D11" s="84" t="inlineStr">
        <is>
          <t>Subventions oct 2026 confirmées</t>
        </is>
      </c>
      <c r="E11" s="87" t="inlineStr">
        <is>
          <t>❓ À vérifier</t>
        </is>
      </c>
    </row>
    <row r="12" ht="19.5" customHeight="1" s="77">
      <c r="A12" s="80" t="inlineStr">
        <is>
          <t>PROJET — Infos disponibles</t>
        </is>
      </c>
      <c r="D12" s="84" t="inlineStr">
        <is>
          <t>Ratio sub/budget (règle 80%)</t>
        </is>
      </c>
      <c r="E12" s="87" t="inlineStr">
        <is>
          <t>❓ À calculer</t>
        </is>
      </c>
    </row>
    <row r="13" ht="13.5" customHeight="1" s="77">
      <c r="A13" s="82" t="inlineStr">
        <is>
          <t>Nom</t>
        </is>
      </c>
      <c r="B13" s="83" t="n"/>
      <c r="D13" s="84" t="inlineStr">
        <is>
          <t>Dossier artistique qualité</t>
        </is>
      </c>
      <c r="E13" s="85" t="inlineStr">
        <is>
          <t>✅ Professionnel et complet</t>
        </is>
      </c>
    </row>
    <row r="14" ht="13.5" customHeight="1" s="77">
      <c r="A14" s="82" t="inlineStr">
        <is>
          <t>Lieu</t>
        </is>
      </c>
      <c r="B14" s="83" t="n"/>
      <c r="D14" s="84" t="inlineStr">
        <is>
          <t>Billetterie réaliste</t>
        </is>
      </c>
      <c r="E14" s="85" t="inlineStr">
        <is>
          <t>✅ Hist. croissant 300→620 sp.</t>
        </is>
      </c>
    </row>
    <row r="15" ht="13.5" customHeight="1" s="77">
      <c r="A15" s="82" t="inlineStr">
        <is>
          <t>J1 (22 oct)</t>
        </is>
      </c>
      <c r="B15" s="83" t="n"/>
      <c r="D15" s="84" t="inlineStr">
        <is>
          <t>Frais internationaux maîtrisés</t>
        </is>
      </c>
      <c r="E15" s="86" t="inlineStr">
        <is>
          <t>⚠️ NY + Londres à surveiller</t>
        </is>
      </c>
    </row>
    <row r="16" ht="13.5" customHeight="1" s="77">
      <c r="A16" s="82" t="inlineStr">
        <is>
          <t>J2 (23 oct)</t>
        </is>
      </c>
      <c r="B16" s="83" t="n"/>
      <c r="D16" s="84" t="inlineStr">
        <is>
          <t>Budget comm &lt; 20% (règle Paris)</t>
        </is>
      </c>
      <c r="E16" s="87" t="inlineStr">
        <is>
          <t>❓ À calculer</t>
        </is>
      </c>
    </row>
    <row r="17" ht="13.5" customHeight="1" s="77">
      <c r="A17" s="82" t="inlineStr">
        <is>
          <t>J3 (24 oct)</t>
        </is>
      </c>
      <c r="B17" s="83" t="n"/>
    </row>
    <row r="18" ht="13.5" customHeight="1" s="77">
      <c r="A18" s="82" t="inlineStr">
        <is>
          <t>Éditions précéd.</t>
        </is>
      </c>
      <c r="B18" s="83" t="n"/>
      <c r="D18" s="88" t="inlineStr">
        <is>
          <t>BUDGET RÉFÉRENCE — La Place fév 2026</t>
        </is>
      </c>
      <c r="E18" s="88" t="inlineStr">
        <is>
          <t>Montant</t>
        </is>
      </c>
    </row>
    <row r="19" ht="15" customHeight="1" s="77">
      <c r="D19" s="89" t="inlineStr">
        <is>
          <t>Budget total (éq.)</t>
        </is>
      </c>
      <c r="E19" s="90" t="n"/>
    </row>
    <row r="20" ht="19.5" customHeight="1" s="77">
      <c r="A20" s="91" t="inlineStr">
        <is>
          <t>⚠️  À DEMANDER AU CLIENT</t>
        </is>
      </c>
      <c r="D20" s="89" t="inlineStr">
        <is>
          <t>Sub Mairie Paris</t>
        </is>
      </c>
      <c r="E20" s="90" t="n"/>
    </row>
    <row r="21" ht="13.5" customHeight="1" s="77">
      <c r="A21" s="92" t="inlineStr">
        <is>
          <t>Cachets artistes</t>
        </is>
      </c>
      <c r="B21" s="93" t="n"/>
      <c r="D21" s="89" t="inlineStr">
        <is>
          <t>Dons / partenaires</t>
        </is>
      </c>
      <c r="E21" s="90" t="n"/>
    </row>
    <row r="22" ht="13.5" customHeight="1" s="77">
      <c r="A22" s="92" t="inlineStr">
        <is>
          <t>Statut juridique chaque artiste</t>
        </is>
      </c>
      <c r="B22" s="93" t="n"/>
      <c r="D22" s="89" t="inlineStr">
        <is>
          <t>Recettes billetterie</t>
        </is>
      </c>
      <c r="E22" s="90" t="n"/>
    </row>
    <row r="23" ht="13.5" customHeight="1" s="77">
      <c r="A23" s="92" t="inlineStr">
        <is>
          <t>La Place : mise à dispo gratuite ?</t>
        </is>
      </c>
      <c r="B23" s="93" t="n"/>
      <c r="D23" s="89" t="inlineStr">
        <is>
          <t>Coût moy/jour hors annexes</t>
        </is>
      </c>
      <c r="E23" s="90" t="n"/>
    </row>
    <row r="24" ht="13.5" customHeight="1" s="77">
      <c r="A24" s="92" t="inlineStr">
        <is>
          <t>VHR artistes internationaux</t>
        </is>
      </c>
      <c r="B24" s="93" t="n"/>
      <c r="D24" s="89" t="inlineStr">
        <is>
          <t>Ratio sub publiques</t>
        </is>
      </c>
      <c r="E24" s="90" t="n"/>
    </row>
    <row r="25" ht="13.5" customHeight="1" s="77">
      <c r="A25" s="92" t="inlineStr">
        <is>
          <t>Billetterie : tarifs et taux remplissage</t>
        </is>
      </c>
      <c r="B25" s="93" t="n"/>
    </row>
    <row r="26" ht="13.5" customHeight="1" s="77">
      <c r="A26" s="92" t="inlineStr">
        <is>
          <t>Subventions oct 2026 confirmées</t>
        </is>
      </c>
      <c r="B26" s="93" t="n"/>
    </row>
    <row r="27" ht="13.5" customHeight="1" s="77">
      <c r="A27" s="92" t="inlineStr">
        <is>
          <t>Bénévoles : nombre et heures</t>
        </is>
      </c>
      <c r="B27" s="93" t="n"/>
    </row>
    <row r="28" ht="13.5" customHeight="1" s="77">
      <c r="A28" s="92" t="inlineStr">
        <is>
          <t>Situation trésorerie asso</t>
        </is>
      </c>
      <c r="B28" s="93" t="n"/>
    </row>
    <row r="29" ht="13.5" customHeight="1" s="77">
      <c r="A29" s="92" t="inlineStr">
        <is>
          <t>Community manager statut</t>
        </is>
      </c>
      <c r="B29" s="93" t="n"/>
    </row>
    <row r="30" ht="13.5" customHeight="1" s="77">
      <c r="A30" s="92" t="inlineStr">
        <is>
          <t>Direction artistique (Jihène)</t>
        </is>
      </c>
      <c r="B30" s="93" t="n"/>
    </row>
    <row r="31" ht="13.5" customHeight="1" s="77">
      <c r="A31" s="92" t="inlineStr">
        <is>
          <t>Droits d'auteur courts métrages</t>
        </is>
      </c>
      <c r="B31" s="93" t="n"/>
    </row>
    <row r="32" ht="13.5" customHeight="1" s="77">
      <c r="A32" s="92" t="inlineStr">
        <is>
          <t>Production déléguée</t>
        </is>
      </c>
      <c r="B32" s="93" t="n"/>
    </row>
  </sheetData>
  <mergeCells count="5">
    <mergeCell ref="A4:B4"/>
    <mergeCell ref="A20:B20"/>
    <mergeCell ref="A2:E2"/>
    <mergeCell ref="A1:E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6" min="1" max="1"/>
    <col width="10" customWidth="1" style="76" min="2" max="2"/>
    <col width="14" customWidth="1" style="76" min="3" max="3"/>
    <col width="12" customWidth="1" style="76" min="4" max="4"/>
    <col width="10" customWidth="1" style="76" min="5" max="5"/>
    <col width="14" customWidth="1" style="76" min="6" max="8"/>
    <col width="12" customWidth="1" style="76" min="9" max="9"/>
    <col width="16" customWidth="1" style="76" min="10" max="10"/>
  </cols>
  <sheetData>
    <row r="1" ht="19.5" customHeight="1" s="77">
      <c r="A1" s="94" t="inlineStr">
        <is>
          <t>LISTE ARTISTES — Cachets &amp; statuts à compléter (cases bleues = à saisir)</t>
        </is>
      </c>
    </row>
    <row r="2" ht="12.75" customHeight="1" s="77">
      <c r="A2" s="79" t="inlineStr">
        <is>
          <t>Vert = extrait dossier artistique  |  Bleu = à renseigner  |  Noir = calcul auto</t>
        </is>
      </c>
    </row>
    <row r="3" ht="25.5" customHeight="1" s="77">
      <c r="A3" s="95" t="inlineStr">
        <is>
          <t>Nom artiste</t>
        </is>
      </c>
      <c r="B3" s="95" t="inlineStr">
        <is>
          <t>Jour</t>
        </is>
      </c>
      <c r="C3" s="95" t="inlineStr">
        <is>
          <t>Rôle</t>
        </is>
      </c>
      <c r="D3" s="95" t="inlineStr">
        <is>
          <t>Statut</t>
        </is>
      </c>
      <c r="E3" s="95" t="inlineStr">
        <is>
          <t>Nb jours</t>
        </is>
      </c>
      <c r="F3" s="95" t="inlineStr">
        <is>
          <t>Cachet/jr €</t>
        </is>
      </c>
      <c r="G3" s="95" t="inlineStr">
        <is>
          <t>Brut €</t>
        </is>
      </c>
      <c r="H3" s="95" t="inlineStr">
        <is>
          <t>Charges ~40%</t>
        </is>
      </c>
      <c r="I3" s="95" t="inlineStr">
        <is>
          <t>Coût total €</t>
        </is>
      </c>
      <c r="J3" s="95" t="inlineStr">
        <is>
          <t>Origine</t>
        </is>
      </c>
    </row>
    <row r="4" ht="13.5" customHeight="1" s="77">
      <c r="A4" s="83" t="n"/>
      <c r="B4" s="83" t="n"/>
      <c r="C4" s="83" t="n"/>
      <c r="D4" s="96" t="n"/>
      <c r="E4" s="97" t="n"/>
      <c r="F4" s="98" t="n"/>
      <c r="G4" s="99">
        <f>IF(E4*F4=0,0,E4*F4)</f>
        <v/>
      </c>
      <c r="H4" s="99">
        <f>IF(G4=0,0,G4*0.4)</f>
        <v/>
      </c>
      <c r="I4" s="100">
        <f>G4+H4</f>
        <v/>
      </c>
      <c r="J4" s="83" t="n"/>
    </row>
    <row r="5" ht="13.5" customHeight="1" s="77">
      <c r="A5" s="83" t="n"/>
      <c r="B5" s="83" t="n"/>
      <c r="C5" s="83" t="n"/>
      <c r="D5" s="96" t="n"/>
      <c r="E5" s="97" t="n"/>
      <c r="F5" s="98" t="n"/>
      <c r="G5" s="99">
        <f>IF(E5*F5=0,0,E5*F5)</f>
        <v/>
      </c>
      <c r="H5" s="99">
        <f>IF(G5=0,0,G5*0.4)</f>
        <v/>
      </c>
      <c r="I5" s="100">
        <f>G5+H5</f>
        <v/>
      </c>
      <c r="J5" s="83" t="n"/>
    </row>
    <row r="6" ht="13.5" customHeight="1" s="77">
      <c r="A6" s="83" t="n"/>
      <c r="B6" s="83" t="n"/>
      <c r="C6" s="83" t="n"/>
      <c r="D6" s="96" t="n"/>
      <c r="E6" s="97" t="n"/>
      <c r="F6" s="98" t="n"/>
      <c r="G6" s="99">
        <f>IF(E6*F6=0,0,E6*F6)</f>
        <v/>
      </c>
      <c r="H6" s="99">
        <f>IF(G6=0,0,G6*0.4)</f>
        <v/>
      </c>
      <c r="I6" s="100">
        <f>G6+H6</f>
        <v/>
      </c>
      <c r="J6" s="83" t="n"/>
    </row>
    <row r="7" ht="13.5" customHeight="1" s="77">
      <c r="A7" s="83" t="n"/>
      <c r="B7" s="83" t="n"/>
      <c r="C7" s="83" t="n"/>
      <c r="D7" s="96" t="n"/>
      <c r="E7" s="97" t="n"/>
      <c r="F7" s="98" t="n"/>
      <c r="G7" s="99">
        <f>IF(E7*F7=0,0,E7*F7)</f>
        <v/>
      </c>
      <c r="H7" s="99">
        <f>IF(G7=0,0,G7*0.4)</f>
        <v/>
      </c>
      <c r="I7" s="100">
        <f>G7+H7</f>
        <v/>
      </c>
      <c r="J7" s="83" t="n"/>
    </row>
    <row r="8" ht="13.5" customHeight="1" s="77">
      <c r="A8" s="83" t="n"/>
      <c r="B8" s="83" t="n"/>
      <c r="C8" s="83" t="n"/>
      <c r="D8" s="96" t="n"/>
      <c r="E8" s="97" t="n"/>
      <c r="F8" s="98" t="n"/>
      <c r="G8" s="99">
        <f>IF(E8*F8=0,0,E8*F8)</f>
        <v/>
      </c>
      <c r="H8" s="99">
        <f>IF(G8=0,0,G8*0.4)</f>
        <v/>
      </c>
      <c r="I8" s="100">
        <f>G8+H8</f>
        <v/>
      </c>
      <c r="J8" s="83" t="n"/>
    </row>
    <row r="9" ht="13.5" customHeight="1" s="77">
      <c r="A9" s="83" t="n"/>
      <c r="B9" s="83" t="n"/>
      <c r="C9" s="83" t="n"/>
      <c r="D9" s="96" t="n"/>
      <c r="E9" s="97" t="n"/>
      <c r="F9" s="98" t="n"/>
      <c r="G9" s="99">
        <f>IF(E9*F9=0,0,E9*F9)</f>
        <v/>
      </c>
      <c r="H9" s="99">
        <f>IF(G9=0,0,G9*0.4)</f>
        <v/>
      </c>
      <c r="I9" s="100">
        <f>G9+H9</f>
        <v/>
      </c>
      <c r="J9" s="83" t="n"/>
    </row>
    <row r="10" ht="13.5" customHeight="1" s="77">
      <c r="A10" s="83" t="n"/>
      <c r="B10" s="83" t="n"/>
      <c r="C10" s="83" t="n"/>
      <c r="D10" s="96" t="n"/>
      <c r="E10" s="97" t="n"/>
      <c r="F10" s="98" t="n"/>
      <c r="G10" s="99">
        <f>IF(E10*F10=0,0,E10*F10)</f>
        <v/>
      </c>
      <c r="H10" s="99">
        <f>IF(G10=0,0,G10*0.4)</f>
        <v/>
      </c>
      <c r="I10" s="100">
        <f>G10+H10</f>
        <v/>
      </c>
      <c r="J10" s="83" t="n"/>
    </row>
    <row r="11" ht="13.5" customHeight="1" s="77">
      <c r="A11" s="83" t="n"/>
      <c r="B11" s="83" t="n"/>
      <c r="C11" s="83" t="n"/>
      <c r="D11" s="96" t="n"/>
      <c r="E11" s="97" t="n"/>
      <c r="F11" s="98" t="n"/>
      <c r="G11" s="99">
        <f>IF(E11*F11=0,0,E11*F11)</f>
        <v/>
      </c>
      <c r="H11" s="99">
        <f>IF(G11=0,0,G11*0.4)</f>
        <v/>
      </c>
      <c r="I11" s="100">
        <f>G11+H11</f>
        <v/>
      </c>
      <c r="J11" s="83" t="n"/>
    </row>
    <row r="12" ht="13.5" customHeight="1" s="77">
      <c r="A12" s="83" t="n"/>
      <c r="B12" s="83" t="n"/>
      <c r="C12" s="83" t="n"/>
      <c r="D12" s="96" t="n"/>
      <c r="E12" s="97" t="n"/>
      <c r="F12" s="98" t="n"/>
      <c r="G12" s="99">
        <f>IF(E12*F12=0,0,E12*F12)</f>
        <v/>
      </c>
      <c r="H12" s="99">
        <f>IF(G12=0,0,G12*0.4)</f>
        <v/>
      </c>
      <c r="I12" s="100">
        <f>G12+H12</f>
        <v/>
      </c>
      <c r="J12" s="83" t="n"/>
    </row>
    <row r="13" ht="13.5" customHeight="1" s="77">
      <c r="A13" s="83" t="n"/>
      <c r="B13" s="83" t="n"/>
      <c r="C13" s="83" t="n"/>
      <c r="D13" s="96" t="n"/>
      <c r="E13" s="97" t="n"/>
      <c r="F13" s="98" t="n"/>
      <c r="G13" s="99">
        <f>IF(E13*F13=0,0,E13*F13)</f>
        <v/>
      </c>
      <c r="H13" s="99">
        <f>IF(G13=0,0,G13*0.4)</f>
        <v/>
      </c>
      <c r="I13" s="100">
        <f>G13+H13</f>
        <v/>
      </c>
      <c r="J13" s="83" t="n"/>
    </row>
    <row r="14" ht="13.5" customHeight="1" s="77">
      <c r="A14" s="83" t="n"/>
      <c r="B14" s="83" t="n"/>
      <c r="C14" s="83" t="n"/>
      <c r="D14" s="96" t="n"/>
      <c r="E14" s="97" t="n"/>
      <c r="F14" s="98" t="n"/>
      <c r="G14" s="99">
        <f>IF(E14*F14=0,0,E14*F14)</f>
        <v/>
      </c>
      <c r="H14" s="99">
        <f>IF(G14=0,0,G14*0.4)</f>
        <v/>
      </c>
      <c r="I14" s="100">
        <f>G14+H14</f>
        <v/>
      </c>
      <c r="J14" s="83" t="n"/>
    </row>
    <row r="15" ht="13.5" customHeight="1" s="77">
      <c r="A15" s="83" t="n"/>
      <c r="B15" s="83" t="n"/>
      <c r="C15" s="83" t="n"/>
      <c r="D15" s="96" t="n"/>
      <c r="E15" s="97" t="n"/>
      <c r="F15" s="98" t="n"/>
      <c r="G15" s="99">
        <f>IF(E15*F15=0,0,E15*F15)</f>
        <v/>
      </c>
      <c r="H15" s="99">
        <f>IF(G15=0,0,G15*0.4)</f>
        <v/>
      </c>
      <c r="I15" s="100">
        <f>G15+H15</f>
        <v/>
      </c>
      <c r="J15" s="83" t="n"/>
    </row>
    <row r="16" ht="13.5" customHeight="1" s="77">
      <c r="A16" s="83" t="n"/>
      <c r="B16" s="83" t="n"/>
      <c r="C16" s="83" t="n"/>
      <c r="D16" s="96" t="n"/>
      <c r="E16" s="97" t="n"/>
      <c r="F16" s="98" t="n"/>
      <c r="G16" s="99">
        <f>IF(E16*F16=0,0,E16*F16)</f>
        <v/>
      </c>
      <c r="H16" s="99">
        <f>IF(G16=0,0,G16*0.4)</f>
        <v/>
      </c>
      <c r="I16" s="100">
        <f>G16+H16</f>
        <v/>
      </c>
      <c r="J16" s="83" t="n"/>
    </row>
    <row r="17" ht="13.5" customHeight="1" s="77">
      <c r="A17" s="83" t="n"/>
      <c r="B17" s="83" t="n"/>
      <c r="C17" s="83" t="n"/>
      <c r="D17" s="96" t="n"/>
      <c r="E17" s="97" t="n"/>
      <c r="F17" s="98" t="n"/>
      <c r="G17" s="99">
        <f>IF(E17*F17=0,0,E17*F17)</f>
        <v/>
      </c>
      <c r="H17" s="99">
        <f>IF(G17=0,0,G17*0.4)</f>
        <v/>
      </c>
      <c r="I17" s="100">
        <f>G17+H17</f>
        <v/>
      </c>
      <c r="J17" s="83" t="n"/>
    </row>
    <row r="18" ht="13.5" customHeight="1" s="77">
      <c r="A18" s="83" t="n"/>
      <c r="B18" s="83" t="n"/>
      <c r="C18" s="83" t="n"/>
      <c r="D18" s="96" t="n"/>
      <c r="E18" s="97" t="n"/>
      <c r="F18" s="98" t="n"/>
      <c r="G18" s="99">
        <f>IF(E18*F18=0,0,E18*F18)</f>
        <v/>
      </c>
      <c r="H18" s="99">
        <f>IF(G18=0,0,G18*0.4)</f>
        <v/>
      </c>
      <c r="I18" s="100">
        <f>G18+H18</f>
        <v/>
      </c>
      <c r="J18" s="83" t="n"/>
    </row>
    <row r="19" ht="13.5" customHeight="1" s="77">
      <c r="A19" s="83" t="n"/>
      <c r="B19" s="83" t="n"/>
      <c r="C19" s="83" t="n"/>
      <c r="D19" s="96" t="n"/>
      <c r="E19" s="97" t="n"/>
      <c r="F19" s="98" t="n"/>
      <c r="G19" s="99">
        <f>IF(E19*F19=0,0,E19*F19)</f>
        <v/>
      </c>
      <c r="H19" s="99">
        <f>IF(G19=0,0,G19*0.4)</f>
        <v/>
      </c>
      <c r="I19" s="100">
        <f>G19+H19</f>
        <v/>
      </c>
      <c r="J19" s="83" t="n"/>
    </row>
    <row r="20" ht="13.5" customHeight="1" s="77">
      <c r="A20" s="83" t="n"/>
      <c r="B20" s="83" t="n"/>
      <c r="C20" s="83" t="n"/>
      <c r="D20" s="96" t="n"/>
      <c r="E20" s="97" t="n"/>
      <c r="F20" s="98" t="n"/>
      <c r="G20" s="99">
        <f>IF(E20*F20=0,0,E20*F20)</f>
        <v/>
      </c>
      <c r="H20" s="99">
        <f>IF(G20=0,0,G20*0.4)</f>
        <v/>
      </c>
      <c r="I20" s="100">
        <f>G20+H20</f>
        <v/>
      </c>
      <c r="J20" s="83" t="n"/>
    </row>
    <row r="21" ht="13.5" customHeight="1" s="77">
      <c r="A21" s="83" t="n"/>
      <c r="B21" s="83" t="n"/>
      <c r="C21" s="83" t="n"/>
      <c r="D21" s="96" t="n"/>
      <c r="E21" s="97" t="n"/>
      <c r="F21" s="98" t="n"/>
      <c r="G21" s="99">
        <f>IF(E21*F21=0,0,E21*F21)</f>
        <v/>
      </c>
      <c r="H21" s="99">
        <f>IF(G21=0,0,G21*0.4)</f>
        <v/>
      </c>
      <c r="I21" s="100">
        <f>G21+H21</f>
        <v/>
      </c>
      <c r="J21" s="83" t="n"/>
    </row>
    <row r="22" ht="12.75" customHeight="1" s="77">
      <c r="A22" s="96" t="n"/>
      <c r="B22" s="96" t="n"/>
      <c r="C22" s="96" t="n"/>
      <c r="D22" s="96" t="n"/>
      <c r="E22" s="98" t="n"/>
      <c r="F22" s="98" t="n"/>
      <c r="G22" s="101">
        <f>IF(E22*F22=0,0,E22*F22)</f>
        <v/>
      </c>
      <c r="H22" s="101">
        <f>IF(G22=0,0,G22*0.4)</f>
        <v/>
      </c>
      <c r="I22" s="102">
        <f>G22+H22</f>
        <v/>
      </c>
    </row>
    <row r="23" ht="12.75" customHeight="1" s="77">
      <c r="A23" s="96" t="n"/>
      <c r="B23" s="96" t="n"/>
      <c r="C23" s="96" t="n"/>
      <c r="D23" s="96" t="n"/>
      <c r="E23" s="98" t="n"/>
      <c r="F23" s="98" t="n"/>
      <c r="G23" s="101">
        <f>IF(E23*F23=0,0,E23*F23)</f>
        <v/>
      </c>
      <c r="H23" s="101">
        <f>IF(G23=0,0,G23*0.4)</f>
        <v/>
      </c>
      <c r="I23" s="102">
        <f>G23+H23</f>
        <v/>
      </c>
    </row>
    <row r="24" ht="12.75" customHeight="1" s="77">
      <c r="A24" s="96" t="n"/>
      <c r="B24" s="96" t="n"/>
      <c r="C24" s="96" t="n"/>
      <c r="D24" s="96" t="n"/>
      <c r="E24" s="98" t="n"/>
      <c r="F24" s="98" t="n"/>
      <c r="G24" s="101">
        <f>IF(E24*F24=0,0,E24*F24)</f>
        <v/>
      </c>
      <c r="H24" s="101">
        <f>IF(G24=0,0,G24*0.4)</f>
        <v/>
      </c>
      <c r="I24" s="102">
        <f>G24+H24</f>
        <v/>
      </c>
    </row>
    <row r="25" ht="12.75" customHeight="1" s="77">
      <c r="A25" s="96" t="n"/>
      <c r="B25" s="96" t="n"/>
      <c r="C25" s="96" t="n"/>
      <c r="D25" s="96" t="n"/>
      <c r="E25" s="98" t="n"/>
      <c r="F25" s="98" t="n"/>
      <c r="G25" s="101">
        <f>IF(E25*F25=0,0,E25*F25)</f>
        <v/>
      </c>
      <c r="H25" s="101">
        <f>IF(G25=0,0,G25*0.4)</f>
        <v/>
      </c>
      <c r="I25" s="102">
        <f>G25+H25</f>
        <v/>
      </c>
    </row>
    <row r="26" ht="12.75" customHeight="1" s="77">
      <c r="A26" s="96" t="n"/>
      <c r="B26" s="96" t="n"/>
      <c r="C26" s="96" t="n"/>
      <c r="D26" s="96" t="n"/>
      <c r="E26" s="98" t="n"/>
      <c r="F26" s="98" t="n"/>
      <c r="G26" s="101">
        <f>IF(E26*F26=0,0,E26*F26)</f>
        <v/>
      </c>
      <c r="H26" s="101">
        <f>IF(G26=0,0,G26*0.4)</f>
        <v/>
      </c>
      <c r="I26" s="102">
        <f>G26+H26</f>
        <v/>
      </c>
    </row>
    <row r="27" ht="18" customHeight="1" s="77">
      <c r="A27" s="103" t="inlineStr">
        <is>
          <t>TOTAL MASSE SALARIALE BRUTE</t>
        </is>
      </c>
      <c r="G27" s="104">
        <f>SUM(G4:G26)</f>
        <v/>
      </c>
      <c r="H27" s="104">
        <f>SUM(H4:H26)</f>
        <v/>
      </c>
      <c r="I27" s="104">
        <f>SUM(I4:I26)</f>
        <v/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76" min="1" max="1"/>
    <col width="16" customWidth="1" style="76" min="2" max="2"/>
    <col width="2" customWidth="1" style="76" min="3" max="3"/>
    <col width="44" customWidth="1" style="76" min="4" max="4"/>
    <col width="16" customWidth="1" style="76" min="5" max="5"/>
  </cols>
  <sheetData>
    <row r="1" ht="19.5" customHeight="1" s="77">
      <c r="A1" s="78" t="inlineStr">
        <is>
          <t>BUDGET PRÉVISIONNEL — [Nom du projet]</t>
        </is>
      </c>
    </row>
    <row r="2" ht="12.75" customHeight="1" s="77">
      <c r="A2" s="79" t="inlineStr">
        <is>
          <t>Vert = pré-rempli depuis dossiers  |  Bleu = à compléter  |  Orange = point d'attention / manquant</t>
        </is>
      </c>
    </row>
    <row r="3" ht="15" customHeight="1" s="77">
      <c r="A3" s="105" t="inlineStr">
        <is>
          <t>Projet :</t>
        </is>
      </c>
      <c r="B3" s="106" t="n"/>
      <c r="D3" s="105" t="inlineStr">
        <is>
          <t>Association :</t>
        </is>
      </c>
      <c r="E3" s="106" t="n"/>
    </row>
    <row r="5" ht="19.5" customHeight="1" s="77">
      <c r="A5" s="107" t="inlineStr">
        <is>
          <t>CHARGES</t>
        </is>
      </c>
      <c r="D5" s="108" t="inlineStr">
        <is>
          <t>PRODUITS / RECETTES</t>
        </is>
      </c>
    </row>
    <row r="6" ht="15" customHeight="1" s="77">
      <c r="A6" s="109" t="inlineStr">
        <is>
          <t>60 — ACHATS</t>
        </is>
      </c>
      <c r="D6" s="110" t="inlineStr">
        <is>
          <t>70 — RECETTES PROPRES (BILLETTERIE)</t>
        </is>
      </c>
    </row>
    <row r="7" ht="12.75" customHeight="1" s="77">
      <c r="A7" s="111" t="inlineStr">
        <is>
          <t>601 Fournitures (trophées, collation, matériel)</t>
        </is>
      </c>
      <c r="B7" s="112" t="n">
        <v>910</v>
      </c>
      <c r="D7" s="111" t="inlineStr">
        <is>
          <t>J1 — jauge 150 — prévente (10€) + plein tarif (15€)</t>
        </is>
      </c>
      <c r="E7" s="98" t="n"/>
    </row>
    <row r="8" ht="12.75" customHeight="1" s="77">
      <c r="A8" s="111" t="inlineStr">
        <is>
          <t>606 Vidéaste &amp; photographe (3 jours)</t>
        </is>
      </c>
      <c r="B8" s="112" t="n">
        <v>6200</v>
      </c>
      <c r="D8" s="111" t="inlineStr">
        <is>
          <t>J2 — jauge 150 — prévente + plein tarif</t>
        </is>
      </c>
      <c r="E8" s="98" t="n"/>
    </row>
    <row r="9" ht="12.75" customHeight="1" s="77">
      <c r="A9" s="111" t="inlineStr">
        <is>
          <t>Autres achats</t>
        </is>
      </c>
      <c r="B9" s="98" t="n"/>
      <c r="D9" s="111" t="inlineStr">
        <is>
          <t>J3 — jauge 400 — taux 70-80% estimé</t>
        </is>
      </c>
      <c r="E9" s="98" t="n"/>
    </row>
    <row r="10" ht="12.75" customHeight="1" s="77">
      <c r="A10" s="113" t="inlineStr">
        <is>
          <t>s/t Achats</t>
        </is>
      </c>
      <c r="B10" s="114">
        <f>SUM(B7:B9)</f>
        <v/>
      </c>
      <c r="D10" s="111" t="inlineStr">
        <is>
          <t>Autres recettes (concours, partenariats)</t>
        </is>
      </c>
      <c r="E10" s="98" t="n"/>
    </row>
    <row r="11" ht="13.5" customHeight="1" s="77">
      <c r="A11" s="109" t="inlineStr">
        <is>
          <t>61 — SERVICES EXTÉRIEURS</t>
        </is>
      </c>
      <c r="D11" s="115" t="inlineStr">
        <is>
          <t>s/t Recettes propres</t>
        </is>
      </c>
      <c r="E11" s="116">
        <f>SUM(E7:E10)</f>
        <v/>
      </c>
    </row>
    <row r="12" ht="15" customHeight="1" s="77">
      <c r="A12" s="111" t="inlineStr">
        <is>
          <t>613 Locations (matériel)</t>
        </is>
      </c>
      <c r="B12" s="112" t="n">
        <v>800</v>
      </c>
      <c r="D12" s="110" t="inlineStr">
        <is>
          <t>74 — SUBVENTIONS PUBLIQUES — ⚠️ Toutes à confirmer</t>
        </is>
      </c>
    </row>
    <row r="13" ht="12.75" customHeight="1" s="77">
      <c r="A13" s="111" t="inlineStr">
        <is>
          <t>615 Entretien et réparation</t>
        </is>
      </c>
      <c r="B13" s="112" t="n">
        <v>400</v>
      </c>
      <c r="D13" s="117" t="inlineStr">
        <is>
          <t>Ville de Paris (AAP HHP26S2) — plafond 10 000€</t>
        </is>
      </c>
      <c r="E13" s="118" t="n"/>
    </row>
    <row r="14" ht="12.75" customHeight="1" s="77">
      <c r="A14" s="111" t="inlineStr">
        <is>
          <t>616 Assurance</t>
        </is>
      </c>
      <c r="B14" s="112" t="n">
        <v>60</v>
      </c>
      <c r="D14" s="117" t="inlineStr">
        <is>
          <t>DRAC Île-de-France</t>
        </is>
      </c>
      <c r="E14" s="118" t="n"/>
    </row>
    <row r="15" ht="12.75" customHeight="1" s="77">
      <c r="A15" s="111" t="inlineStr">
        <is>
          <t>Autres services</t>
        </is>
      </c>
      <c r="B15" s="98" t="n"/>
      <c r="D15" s="117" t="inlineStr">
        <is>
          <t>Région Île-de-France</t>
        </is>
      </c>
      <c r="E15" s="118" t="n"/>
    </row>
    <row r="16" ht="12.75" customHeight="1" s="77">
      <c r="A16" s="113" t="inlineStr">
        <is>
          <t>s/t Services ext.</t>
        </is>
      </c>
      <c r="B16" s="114">
        <f>SUM(B12:B15)</f>
        <v/>
      </c>
      <c r="D16" s="117" t="inlineStr">
        <is>
          <t>Conseil Départemental (93 / Paris)</t>
        </is>
      </c>
      <c r="E16" s="118" t="n"/>
    </row>
    <row r="17" ht="12.75" customHeight="1" s="77">
      <c r="A17" s="109" t="inlineStr">
        <is>
          <t>62 — AUTRES SERVICES EXTÉRIEURS</t>
        </is>
      </c>
      <c r="D17" s="117" t="inlineStr">
        <is>
          <t>CNM / Spedidam / SACEM / ADAMI / SACD</t>
        </is>
      </c>
      <c r="E17" s="118" t="n"/>
    </row>
    <row r="18" ht="12.75" customHeight="1" s="77">
      <c r="A18" s="111" t="inlineStr">
        <is>
          <t>622 Honoraires coordination générale (Pause Kreyol)</t>
        </is>
      </c>
      <c r="B18" s="112" t="n">
        <v>4750</v>
      </c>
      <c r="D18" s="117" t="inlineStr">
        <is>
          <t>Organismes sociaux (CAF, DEETS…)</t>
        </is>
      </c>
      <c r="E18" s="118" t="n"/>
    </row>
    <row r="19" ht="12.75" customHeight="1" s="77">
      <c r="A19" s="119" t="inlineStr">
        <is>
          <t>622 Community manager 3 mois — ⚠️ À chiffrer</t>
        </is>
      </c>
      <c r="B19" s="98" t="n"/>
      <c r="D19" s="117" t="inlineStr">
        <is>
          <t>Autres établissements publics</t>
        </is>
      </c>
      <c r="E19" s="118" t="n"/>
    </row>
    <row r="20" ht="13.5" customHeight="1" s="77">
      <c r="A20" s="119" t="inlineStr">
        <is>
          <t>622 Direction artistique Jihène — ⚠️ À chiffrer</t>
        </is>
      </c>
      <c r="B20" s="98" t="n"/>
      <c r="D20" s="115" t="inlineStr">
        <is>
          <t>s/t Subventions publiques</t>
        </is>
      </c>
      <c r="E20" s="116">
        <f>SUM(E13:E19)</f>
        <v/>
      </c>
    </row>
    <row r="21" ht="15" customHeight="1" s="77">
      <c r="A21" s="119" t="inlineStr">
        <is>
          <t>622 Production déléguée — ⚠️ À chiffrer</t>
        </is>
      </c>
      <c r="B21" s="98" t="n"/>
      <c r="D21" s="110" t="inlineStr">
        <is>
          <t>75 — FINANCEMENTS PRIVÉS ET AUTRES</t>
        </is>
      </c>
    </row>
    <row r="22" ht="12.75" customHeight="1" s="77">
      <c r="A22" s="111" t="inlineStr">
        <is>
          <t>623 Publicité et publication</t>
        </is>
      </c>
      <c r="B22" s="112" t="n">
        <v>4510</v>
      </c>
      <c r="D22" s="111" t="inlineStr">
        <is>
          <t>Mécénat / fondations privées</t>
        </is>
      </c>
      <c r="E22" s="98" t="n"/>
    </row>
    <row r="23" ht="12.75" customHeight="1" s="77">
      <c r="A23" s="111" t="inlineStr">
        <is>
          <t>625 VHR déplacements et transports</t>
        </is>
      </c>
      <c r="B23" s="112" t="n">
        <v>3200</v>
      </c>
      <c r="D23" s="111" t="inlineStr">
        <is>
          <t>Partenaires culturels privés</t>
        </is>
      </c>
      <c r="E23" s="98" t="n"/>
    </row>
    <row r="24" ht="12.75" customHeight="1" s="77">
      <c r="A24" s="111" t="inlineStr">
        <is>
          <t>627 Services bancaires</t>
        </is>
      </c>
      <c r="B24" s="112" t="n">
        <v>120</v>
      </c>
      <c r="D24" s="111" t="inlineStr">
        <is>
          <t>Dons manuels</t>
        </is>
      </c>
      <c r="E24" s="98" t="n"/>
    </row>
    <row r="25" ht="12.75" customHeight="1" s="77">
      <c r="A25" s="111" t="inlineStr">
        <is>
          <t>Autres</t>
        </is>
      </c>
      <c r="B25" s="98" t="n"/>
      <c r="D25" s="111" t="inlineStr">
        <is>
          <t>Produits divers</t>
        </is>
      </c>
      <c r="E25" s="98" t="n"/>
    </row>
    <row r="26" ht="13.5" customHeight="1" s="77">
      <c r="A26" s="113" t="inlineStr">
        <is>
          <t>s/t Autres services</t>
        </is>
      </c>
      <c r="B26" s="114">
        <f>SUM(B18:B25)</f>
        <v/>
      </c>
      <c r="D26" s="115" t="inlineStr">
        <is>
          <t>s/t Financements privés</t>
        </is>
      </c>
      <c r="E26" s="116">
        <f>SUM(E22:E25)</f>
        <v/>
      </c>
    </row>
    <row r="27" ht="15" customHeight="1" s="77">
      <c r="A27" s="109" t="inlineStr">
        <is>
          <t>64 — CHARGES DE PERSONNEL (lié onglet ARTISTES)</t>
        </is>
      </c>
    </row>
    <row r="28" ht="12.75" customHeight="1" s="77">
      <c r="A28" s="111" t="inlineStr">
        <is>
          <t>641 Rémunérations brutes artistes (→ onglet ARTISTES)</t>
        </is>
      </c>
      <c r="B28" s="120">
        <f>ARTISTES!G27</f>
        <v/>
      </c>
    </row>
    <row r="29" ht="12.75" customHeight="1" s="77">
      <c r="A29" s="111" t="inlineStr">
        <is>
          <t>645 Charges GUSO ~40% (calculé auto)</t>
        </is>
      </c>
      <c r="B29" s="120">
        <f>ARTISTES!H27</f>
        <v/>
      </c>
    </row>
    <row r="30" ht="13.5" customHeight="1" s="77">
      <c r="A30" s="113" t="inlineStr">
        <is>
          <t>s/t Charges de personnel</t>
        </is>
      </c>
      <c r="B30" s="114">
        <f>SUM(B28:B29)</f>
        <v/>
      </c>
    </row>
    <row r="31" ht="15" customHeight="1" s="77">
      <c r="A31" s="109" t="inlineStr">
        <is>
          <t>AUTRES CHARGES</t>
        </is>
      </c>
    </row>
    <row r="32" ht="12.75" customHeight="1" s="77">
      <c r="A32" s="111" t="inlineStr">
        <is>
          <t>67 Charges exceptionnelles</t>
        </is>
      </c>
      <c r="B32" s="112" t="n">
        <v>200</v>
      </c>
    </row>
    <row r="33" ht="12.75" customHeight="1" s="77">
      <c r="A33" s="111" t="inlineStr">
        <is>
          <t>Charges fixes fonctionnement</t>
        </is>
      </c>
      <c r="B33" s="112" t="n">
        <v>1500</v>
      </c>
    </row>
    <row r="34" ht="12.75" customHeight="1" s="77">
      <c r="A34" s="119" t="inlineStr">
        <is>
          <t>Droits d'auteur courts métrages — ⚠️ À chiffrer</t>
        </is>
      </c>
      <c r="B34" s="98" t="n"/>
    </row>
    <row r="35" ht="13.5" customHeight="1" s="77">
      <c r="A35" s="113" t="inlineStr">
        <is>
          <t>s/t Autres</t>
        </is>
      </c>
      <c r="B35" s="114">
        <f>SUM(B32:B34)</f>
        <v/>
      </c>
    </row>
    <row r="36" ht="18" customHeight="1" s="77">
      <c r="A36" s="121" t="inlineStr">
        <is>
          <t>TOTAL DES CHARGES</t>
        </is>
      </c>
      <c r="B36" s="122">
        <f>B10+B16+B26+B30+B35</f>
        <v/>
      </c>
      <c r="D36" s="123" t="inlineStr">
        <is>
          <t>TOTAL DES PRODUITS</t>
        </is>
      </c>
      <c r="E36" s="124">
        <f>E11+E20+E26</f>
        <v/>
      </c>
    </row>
    <row r="37" ht="15" customHeight="1" s="77">
      <c r="A37" s="125" t="inlineStr">
        <is>
          <t>CONTRIBUTIONS VOLONTAIRES EN NATURE</t>
        </is>
      </c>
    </row>
    <row r="38" ht="19.5" customHeight="1" s="77">
      <c r="A38" s="126">
        <f>IF(ABS(B36-E36)&gt;1,"⚠️ ÉCART : "&amp;TEXT(ABS(B36-E36),"#,##0")&amp;" €","✅ Budget équilibré — "&amp;TEXT(B36,"#,##0")&amp;" €")</f>
        <v/>
      </c>
    </row>
    <row r="39" ht="18" customHeight="1" s="77">
      <c r="A39" s="127">
        <f>IF(E36=0,"Budget produits vide",IF(E20/E36&gt;0.8,"⚠️ Aides publiques "&amp;TEXT(E20/E36,"0%")&amp;" &gt; 80% — dépasse norme nationale",IF(E20/E36&gt;0.7,"⚠️ Aides publiques "&amp;TEXT(E20/E36,"0%")&amp;" &gt; 70% — plafond AAP Paris","✅ Ratio aides publiques ok : "&amp;TEXT(E20/E36,"0%")&amp;" du budget")))</f>
        <v/>
      </c>
    </row>
    <row r="40" ht="13.5" customHeight="1" s="77">
      <c r="A40" s="113" t="inlineStr">
        <is>
          <t>Total contributions</t>
        </is>
      </c>
      <c r="B40" s="114">
        <f>SUM(B38:B39)</f>
        <v/>
      </c>
    </row>
  </sheetData>
  <mergeCells count="15">
    <mergeCell ref="D6:E6"/>
    <mergeCell ref="A39:E39"/>
    <mergeCell ref="A38:E38"/>
    <mergeCell ref="A2:E2"/>
    <mergeCell ref="A11:B11"/>
    <mergeCell ref="D5:E5"/>
    <mergeCell ref="A5:B5"/>
    <mergeCell ref="A37:B37"/>
    <mergeCell ref="A1:E1"/>
    <mergeCell ref="A17:B17"/>
    <mergeCell ref="A27:B27"/>
    <mergeCell ref="A31:B31"/>
    <mergeCell ref="A6:B6"/>
    <mergeCell ref="D12:E12"/>
    <mergeCell ref="D21:E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76" min="1" max="1"/>
    <col width="14" customWidth="1" style="76" min="2" max="2"/>
    <col width="18" customWidth="1" style="76" min="3" max="3"/>
    <col width="22" customWidth="1" style="76" min="4" max="4"/>
    <col width="14" customWidth="1" style="76" min="5" max="5"/>
  </cols>
  <sheetData>
    <row r="1" ht="19.5" customHeight="1" s="77">
      <c r="A1" s="78" t="inlineStr">
        <is>
          <t>GRILLE D'ANALYSE DE FAISABILITÉ FINANCIÈRE — Outil pré-contractuel</t>
        </is>
      </c>
    </row>
    <row r="2" ht="12.75" customHeight="1" s="77">
      <c r="A2" s="79" t="inlineStr">
        <is>
          <t>À compléter lors du premier entretien avec le prospect</t>
        </is>
      </c>
    </row>
    <row r="4" ht="19.5" customHeight="1" s="77">
      <c r="A4" s="80" t="inlineStr">
        <is>
          <t>INDICATEURS BUDGÉTAIRES — Normes et règles à vérifier</t>
        </is>
      </c>
    </row>
    <row r="5" ht="18" customHeight="1" s="77">
      <c r="A5" s="128" t="inlineStr">
        <is>
          <t>Indicateur</t>
        </is>
      </c>
      <c r="B5" s="128" t="inlineStr">
        <is>
          <t>Valeur projet</t>
        </is>
      </c>
      <c r="C5" s="128" t="inlineStr">
        <is>
          <t>Norme / Seuil</t>
        </is>
      </c>
      <c r="D5" s="128" t="inlineStr">
        <is>
          <t>Source réglementaire</t>
        </is>
      </c>
      <c r="E5" s="128" t="inlineStr">
        <is>
          <t>Statut</t>
        </is>
      </c>
    </row>
    <row r="6" ht="13.5" customHeight="1" s="77">
      <c r="A6" s="129" t="inlineStr">
        <is>
          <t>Budget total du projet</t>
        </is>
      </c>
      <c r="B6" s="93" t="inlineStr">
        <is>
          <t>→ Budget maître</t>
        </is>
      </c>
      <c r="C6" s="130" t="inlineStr">
        <is>
          <t>—</t>
        </is>
      </c>
      <c r="D6" s="131" t="inlineStr">
        <is>
          <t>—</t>
        </is>
      </c>
      <c r="E6" s="132" t="inlineStr">
        <is>
          <t>❓</t>
        </is>
      </c>
    </row>
    <row r="7" ht="13.5" customHeight="1" s="77">
      <c r="A7" s="129" t="inlineStr">
        <is>
          <t>Total subventions publiques</t>
        </is>
      </c>
      <c r="B7" s="93" t="inlineStr">
        <is>
          <t>→ à calculer</t>
        </is>
      </c>
      <c r="C7" s="130" t="inlineStr">
        <is>
          <t>&lt; 80% budget</t>
        </is>
      </c>
      <c r="D7" s="131" t="inlineStr">
        <is>
          <t>Art. R1611-1 / loi 2020</t>
        </is>
      </c>
      <c r="E7" s="132" t="inlineStr">
        <is>
          <t>❓</t>
        </is>
      </c>
    </row>
    <row r="8" ht="13.5" customHeight="1" s="77">
      <c r="A8" s="129" t="inlineStr">
        <is>
          <t>Sub. Ville de Paris</t>
        </is>
      </c>
      <c r="B8" s="93" t="inlineStr">
        <is>
          <t>→ à saisir</t>
        </is>
      </c>
      <c r="C8" s="130" t="inlineStr">
        <is>
          <t>≤ 10 000€ et ≤ 70% budget</t>
        </is>
      </c>
      <c r="D8" s="131" t="inlineStr">
        <is>
          <t>Règlement AAP HHP26S2</t>
        </is>
      </c>
      <c r="E8" s="132" t="inlineStr">
        <is>
          <t>❓</t>
        </is>
      </c>
    </row>
    <row r="9" ht="13.5" customHeight="1" s="77">
      <c r="A9" s="129" t="inlineStr">
        <is>
          <t>Ratio sub. publiques / budget</t>
        </is>
      </c>
      <c r="B9" s="93" t="inlineStr">
        <is>
          <t>→ à calculer</t>
        </is>
      </c>
      <c r="C9" s="130" t="inlineStr">
        <is>
          <t>&lt; 80% (norm. nationale)</t>
        </is>
      </c>
      <c r="D9" s="131" t="inlineStr">
        <is>
          <t>DGCS</t>
        </is>
      </c>
      <c r="E9" s="132" t="inlineStr">
        <is>
          <t>❓</t>
        </is>
      </c>
    </row>
    <row r="10" ht="13.5" customHeight="1" s="77">
      <c r="A10" s="129" t="inlineStr">
        <is>
          <t>Ratio sub. Mairie / budget</t>
        </is>
      </c>
      <c r="B10" s="93" t="inlineStr">
        <is>
          <t>→ à calculer</t>
        </is>
      </c>
      <c r="C10" s="130" t="inlineStr">
        <is>
          <t>&lt; 70% (règle Mairie Paris)</t>
        </is>
      </c>
      <c r="D10" s="131" t="inlineStr">
        <is>
          <t>AAP HHP26S2</t>
        </is>
      </c>
      <c r="E10" s="132" t="inlineStr">
        <is>
          <t>❓</t>
        </is>
      </c>
    </row>
    <row r="11" ht="13.5" customHeight="1" s="77">
      <c r="A11" s="129" t="inlineStr">
        <is>
          <t>Frais communication / budget</t>
        </is>
      </c>
      <c r="B11" s="93" t="inlineStr">
        <is>
          <t>→ à calculer</t>
        </is>
      </c>
      <c r="C11" s="130" t="inlineStr">
        <is>
          <t>&lt; 20% budget (Mairie Paris)</t>
        </is>
      </c>
      <c r="D11" s="131" t="inlineStr">
        <is>
          <t>AAP HHP26S2 §4</t>
        </is>
      </c>
      <c r="E11" s="132" t="inlineStr">
        <is>
          <t>❓</t>
        </is>
      </c>
    </row>
    <row r="12" ht="13.5" customHeight="1" s="77">
      <c r="A12" s="129" t="inlineStr">
        <is>
          <t>Recettes propres / budget</t>
        </is>
      </c>
      <c r="B12" s="93" t="inlineStr">
        <is>
          <t>→ à calculer</t>
        </is>
      </c>
      <c r="C12" s="130" t="inlineStr">
        <is>
          <t>&gt; 15-20% (bonne pratique)</t>
        </is>
      </c>
      <c r="D12" s="131" t="inlineStr">
        <is>
          <t>Critère appréciation</t>
        </is>
      </c>
      <c r="E12" s="132" t="inlineStr">
        <is>
          <t>❓</t>
        </is>
      </c>
    </row>
    <row r="13" ht="13.5" customHeight="1" s="77">
      <c r="A13" s="129" t="inlineStr">
        <is>
          <t>Taux de remplissage historique</t>
        </is>
      </c>
      <c r="B13" s="133" t="inlineStr">
        <is>
          <t>300-620 sp. / éd.</t>
        </is>
      </c>
      <c r="C13" s="130" t="inlineStr">
        <is>
          <t>Croissance régulière ✅</t>
        </is>
      </c>
      <c r="D13" s="131" t="inlineStr">
        <is>
          <t>4 éditions précédentes</t>
        </is>
      </c>
      <c r="E13" s="134" t="inlineStr">
        <is>
          <t>✅</t>
        </is>
      </c>
    </row>
    <row r="15" ht="19.5" customHeight="1" s="77">
      <c r="A15" s="135" t="inlineStr">
        <is>
          <t>GRILLE DE RISQUES PROJET</t>
        </is>
      </c>
    </row>
    <row r="16" ht="18" customHeight="1" s="77">
      <c r="A16" s="136" t="inlineStr">
        <is>
          <t>Facteur de risque</t>
        </is>
      </c>
      <c r="B16" s="136" t="inlineStr">
        <is>
          <t>Niveau</t>
        </is>
      </c>
      <c r="C16" s="136" t="inlineStr">
        <is>
          <t>Impact financier</t>
        </is>
      </c>
      <c r="D16" s="136" t="inlineStr">
        <is>
          <t>Mitigation recommandée</t>
        </is>
      </c>
      <c r="E16" s="136" t="inlineStr">
        <is>
          <t>Statut</t>
        </is>
      </c>
    </row>
    <row r="17" ht="21.75" customHeight="1" s="77">
      <c r="A17" s="84" t="inlineStr">
        <is>
          <t>Asso créée sept 2024 — historique comptable limité</t>
        </is>
      </c>
      <c r="B17" s="137" t="inlineStr">
        <is>
          <t>MOYEN</t>
        </is>
      </c>
      <c r="C17" s="138" t="inlineStr">
        <is>
          <t>Dossiers subventions moins crédibles</t>
        </is>
      </c>
      <c r="D17" s="139" t="inlineStr">
        <is>
          <t>Valoriser historique Cie UDP (15 ans)</t>
        </is>
      </c>
      <c r="E17" s="132" t="inlineStr">
        <is>
          <t>⚠️</t>
        </is>
      </c>
    </row>
    <row r="18" ht="21.75" customHeight="1" s="77">
      <c r="A18" s="84" t="inlineStr">
        <is>
          <t>Artistes internationaux NY + Londres + Antilles</t>
        </is>
      </c>
      <c r="B18" s="137" t="inlineStr">
        <is>
          <t>MOYEN</t>
        </is>
      </c>
      <c r="C18" s="138" t="inlineStr">
        <is>
          <t>VHR élevés, risque annulation</t>
        </is>
      </c>
      <c r="D18" s="139" t="inlineStr">
        <is>
          <t>Contrats signés + assurance annulation</t>
        </is>
      </c>
      <c r="E18" s="132" t="inlineStr">
        <is>
          <t>⚠️</t>
        </is>
      </c>
    </row>
    <row r="19" ht="21.75" customHeight="1" s="77">
      <c r="A19" s="84" t="inlineStr">
        <is>
          <t>Subventions oct 2026 non confirmées</t>
        </is>
      </c>
      <c r="B19" s="140" t="inlineStr">
        <is>
          <t>ÉLEVÉ</t>
        </is>
      </c>
      <c r="C19" s="138" t="inlineStr">
        <is>
          <t>Budget potentiellement non bouclé</t>
        </is>
      </c>
      <c r="D19" s="139" t="inlineStr">
        <is>
          <t>Diversifier sources / plan B trésorerie</t>
        </is>
      </c>
      <c r="E19" s="141" t="inlineStr">
        <is>
          <t>❗</t>
        </is>
      </c>
    </row>
    <row r="20" ht="21.75" customHeight="1" s="77">
      <c r="A20" s="84" t="inlineStr">
        <is>
          <t>Conditions La Place non formalisées</t>
        </is>
      </c>
      <c r="B20" s="137" t="inlineStr">
        <is>
          <t>MOYEN</t>
        </is>
      </c>
      <c r="C20" s="138" t="inlineStr">
        <is>
          <t>Coût salle non budgété potentiel</t>
        </is>
      </c>
      <c r="D20" s="139" t="inlineStr">
        <is>
          <t>Lettre d'engagement avant dépôt dossier</t>
        </is>
      </c>
      <c r="E20" s="132" t="inlineStr">
        <is>
          <t>⚠️</t>
        </is>
      </c>
    </row>
    <row r="21" ht="21.75" customHeight="1" s="77">
      <c r="A21" s="84" t="inlineStr">
        <is>
          <t>Droits d'auteur courts métrages non contractualisés</t>
        </is>
      </c>
      <c r="B21" s="142" t="inlineStr">
        <is>
          <t>FAIBLE</t>
        </is>
      </c>
      <c r="C21" s="138" t="inlineStr">
        <is>
          <t>Contentieux potentiel</t>
        </is>
      </c>
      <c r="D21" s="139" t="inlineStr">
        <is>
          <t>Contrats de cession systématiques</t>
        </is>
      </c>
      <c r="E21" s="143" t="inlineStr">
        <is>
          <t>⚠️</t>
        </is>
      </c>
    </row>
    <row r="22" ht="21.75" customHeight="1" s="77">
      <c r="A22" s="84" t="inlineStr">
        <is>
          <t>Frais communication potentiellement &gt; 20%</t>
        </is>
      </c>
      <c r="B22" s="137" t="inlineStr">
        <is>
          <t>MOYEN</t>
        </is>
      </c>
      <c r="C22" s="138" t="inlineStr">
        <is>
          <t>Inéligibilité partielle AAP Mairie</t>
        </is>
      </c>
      <c r="D22" s="139" t="inlineStr">
        <is>
          <t>Vérifier ratio dans budget final</t>
        </is>
      </c>
      <c r="E22" s="132" t="inlineStr">
        <is>
          <t>⚠️</t>
        </is>
      </c>
    </row>
    <row r="23" ht="21.75" customHeight="1" s="77">
      <c r="A23" s="84" t="inlineStr">
        <is>
          <t>Trésorerie asso non communiquée</t>
        </is>
      </c>
      <c r="B23" s="137" t="inlineStr">
        <is>
          <t>MOYEN</t>
        </is>
      </c>
      <c r="C23" s="138" t="inlineStr">
        <is>
          <t>Incapacité de préfinancement</t>
        </is>
      </c>
      <c r="D23" s="139" t="inlineStr">
        <is>
          <t>Demander bilan + situation trésorerie</t>
        </is>
      </c>
      <c r="E23" s="132" t="inlineStr">
        <is>
          <t>❓</t>
        </is>
      </c>
    </row>
    <row r="24" ht="21.75" customHeight="1" s="77">
      <c r="A24" s="84" t="inlineStr">
        <is>
          <t>Billetterie variable (météo, concurrence)</t>
        </is>
      </c>
      <c r="B24" s="142" t="inlineStr">
        <is>
          <t>FAIBLE</t>
        </is>
      </c>
      <c r="C24" s="138" t="inlineStr">
        <is>
          <t>Recettes inférieures aux prévisions</t>
        </is>
      </c>
      <c r="D24" s="139" t="inlineStr">
        <is>
          <t>Historique solide (300→620) rassurant</t>
        </is>
      </c>
      <c r="E24" s="143" t="inlineStr">
        <is>
          <t>✅</t>
        </is>
      </c>
    </row>
    <row r="26" ht="19.5" customHeight="1" s="77">
      <c r="A26" s="144" t="inlineStr">
        <is>
          <t>CHECKLIST DOCUMENTS PRÉCONTRACTUELS</t>
        </is>
      </c>
    </row>
    <row r="27" ht="18" customHeight="1" s="77">
      <c r="A27" s="145" t="inlineStr">
        <is>
          <t>Document</t>
        </is>
      </c>
      <c r="B27" s="145" t="inlineStr">
        <is>
          <t>Statut</t>
        </is>
      </c>
      <c r="C27" s="145" t="inlineStr">
        <is>
          <t>Pourquoi nécessaire</t>
        </is>
      </c>
      <c r="D27" s="145" t="inlineStr">
        <is>
          <t>Délai</t>
        </is>
      </c>
      <c r="E27" s="145" t="inlineStr">
        <is>
          <t>Obtenu ?</t>
        </is>
      </c>
    </row>
    <row r="28" ht="15" customHeight="1" s="77">
      <c r="A28" s="129" t="inlineStr">
        <is>
          <t>Statuts association à jour</t>
        </is>
      </c>
      <c r="B28" s="146" t="inlineStr">
        <is>
          <t>Obligatoire</t>
        </is>
      </c>
      <c r="C28" s="131" t="inlineStr">
        <is>
          <t>Dossier Mairie Paris</t>
        </is>
      </c>
      <c r="D28" s="146" t="inlineStr">
        <is>
          <t>Maintenant</t>
        </is>
      </c>
      <c r="E28" s="147" t="inlineStr">
        <is>
          <t>☐</t>
        </is>
      </c>
    </row>
    <row r="29" ht="15" customHeight="1" s="77">
      <c r="A29" s="129" t="inlineStr">
        <is>
          <t>PV dernier CA / AG</t>
        </is>
      </c>
      <c r="B29" s="146" t="inlineStr">
        <is>
          <t>Obligatoire</t>
        </is>
      </c>
      <c r="C29" s="131" t="inlineStr">
        <is>
          <t>Dossier Mairie Paris</t>
        </is>
      </c>
      <c r="D29" s="146" t="inlineStr">
        <is>
          <t>Maintenant</t>
        </is>
      </c>
      <c r="E29" s="147" t="inlineStr">
        <is>
          <t>☐</t>
        </is>
      </c>
    </row>
    <row r="30" ht="15" customHeight="1" s="77">
      <c r="A30" s="129" t="inlineStr">
        <is>
          <t>Bilan financier 2 derniers exercices</t>
        </is>
      </c>
      <c r="B30" s="146" t="inlineStr">
        <is>
          <t>Obligatoire</t>
        </is>
      </c>
      <c r="C30" s="131" t="inlineStr">
        <is>
          <t>Faisabilité financière</t>
        </is>
      </c>
      <c r="D30" s="146" t="inlineStr">
        <is>
          <t>Maintenant</t>
        </is>
      </c>
      <c r="E30" s="147" t="inlineStr">
        <is>
          <t>☐</t>
        </is>
      </c>
    </row>
    <row r="31" ht="15" customHeight="1" s="77">
      <c r="A31" s="129" t="inlineStr">
        <is>
          <t>RIB association</t>
        </is>
      </c>
      <c r="B31" s="146" t="inlineStr">
        <is>
          <t>Obligatoire</t>
        </is>
      </c>
      <c r="C31" s="131" t="inlineStr">
        <is>
          <t>Versement subventions</t>
        </is>
      </c>
      <c r="D31" s="146" t="inlineStr">
        <is>
          <t>Maintenant</t>
        </is>
      </c>
      <c r="E31" s="147" t="inlineStr">
        <is>
          <t>☐</t>
        </is>
      </c>
    </row>
    <row r="32" ht="15" customHeight="1" s="77">
      <c r="A32" s="129" t="inlineStr">
        <is>
          <t>Licence spectacle</t>
        </is>
      </c>
      <c r="B32" s="148" t="inlineStr">
        <is>
          <t>✅ PLATESV-D-2025-001444</t>
        </is>
      </c>
      <c r="C32" s="131" t="inlineStr">
        <is>
          <t>Obligation légale</t>
        </is>
      </c>
      <c r="D32" s="148" t="inlineStr">
        <is>
          <t>Obtenue</t>
        </is>
      </c>
      <c r="E32" s="147" t="inlineStr">
        <is>
          <t>✅</t>
        </is>
      </c>
    </row>
    <row r="33" ht="15" customHeight="1" s="77">
      <c r="A33" s="129" t="inlineStr">
        <is>
          <t>Contrat / lettre engagement La Place</t>
        </is>
      </c>
      <c r="B33" s="149" t="inlineStr">
        <is>
          <t>Avant le 16 avril 2026</t>
        </is>
      </c>
      <c r="C33" s="131" t="inlineStr">
        <is>
          <t>Dossier Mairie Paris</t>
        </is>
      </c>
      <c r="D33" s="149" t="inlineStr">
        <is>
          <t>Urgent</t>
        </is>
      </c>
      <c r="E33" s="147" t="inlineStr">
        <is>
          <t>☐</t>
        </is>
      </c>
    </row>
    <row r="34" ht="15" customHeight="1" s="77">
      <c r="A34" s="129" t="inlineStr">
        <is>
          <t>Devis / contrats artistes</t>
        </is>
      </c>
      <c r="B34" s="146" t="inlineStr">
        <is>
          <t>Avant dépôt dossier</t>
        </is>
      </c>
      <c r="C34" s="131" t="inlineStr">
        <is>
          <t>Budget définitif</t>
        </is>
      </c>
      <c r="D34" s="146" t="inlineStr">
        <is>
          <t>Avant mars 2026</t>
        </is>
      </c>
      <c r="E34" s="147" t="inlineStr">
        <is>
          <t>☐</t>
        </is>
      </c>
    </row>
    <row r="35" ht="15" customHeight="1" s="77">
      <c r="A35" s="129" t="inlineStr">
        <is>
          <t>Contrats cession droits courts métrages</t>
        </is>
      </c>
      <c r="B35" s="146" t="inlineStr">
        <is>
          <t>À établir</t>
        </is>
      </c>
      <c r="C35" s="131" t="inlineStr">
        <is>
          <t>Prévention contentieux</t>
        </is>
      </c>
      <c r="D35" s="146" t="inlineStr">
        <is>
          <t>Avant festival</t>
        </is>
      </c>
      <c r="E35" s="147" t="inlineStr">
        <is>
          <t>☐</t>
        </is>
      </c>
    </row>
    <row r="36" ht="15" customHeight="1" s="77">
      <c r="A36" s="129" t="inlineStr">
        <is>
          <t>Justificatifs subventions en cours (AR)</t>
        </is>
      </c>
      <c r="B36" s="146" t="inlineStr">
        <is>
          <t>Si disponibles</t>
        </is>
      </c>
      <c r="C36" s="131" t="inlineStr">
        <is>
          <t>Crédibilité dossier</t>
        </is>
      </c>
      <c r="D36" s="146" t="inlineStr">
        <is>
          <t>Dès que possible</t>
        </is>
      </c>
      <c r="E36" s="147" t="inlineStr">
        <is>
          <t>☐</t>
        </is>
      </c>
    </row>
    <row r="38" ht="19.5" customHeight="1" s="77">
      <c r="A38" s="150" t="inlineStr">
        <is>
          <t>SYNTHÈSE — VERDICT DE FAISABILITÉ PROVISOIRE</t>
        </is>
      </c>
    </row>
    <row r="39" ht="79.5" customHeight="1" s="77">
      <c r="A39" s="151" t="inlineStr">
        <is>
          <t>✅ POINTS FORTS :
• 4 éditions avec croissance constante (300 → 620 sp.)
• Cie UDP : 15 ans d'expérience et réseau solide
• Licence spectacle obtenue
• Dossier artistique de qualité professionnelle
• La Place : partenaire historique et institutionnel
• Line-up internationale confirmée</t>
        </is>
      </c>
      <c r="C39" s="152" t="inlineStr">
        <is>
          <t>⚠️ CONDITIONS DE FAISABILITÉ :
• Confirmation subventions oct 2026 (risque principal)
• Lettre d'engagement La Place à obtenir d'urgence
• Bilan comptable asso à fournir (créée sept 2024)
• Cashets artistes à chiffrer pour budget définitif
• Vérifier règles 70%/80% aides publiques Mairie
• Contrats cession droits courts métrages à établir</t>
        </is>
      </c>
    </row>
    <row r="40" ht="15" customHeight="1" s="77"/>
    <row r="41" ht="15" customHeight="1" s="77"/>
    <row r="42" ht="15" customHeight="1" s="77"/>
    <row r="43" ht="42" customHeight="1" s="77">
      <c r="A43" s="144" t="inlineStr">
        <is>
          <t>VERDICT : ✅ PROJET FAISABLE SOUS CONDITIONS — Budget estimé entre 25k€ et 45k€ selon ambition (base éditions précédentes). Faisabilité conditionnée à : (1) confirmation des subventions publiques 2026, (2) lettre d'engagement La Place avant 16 avril, (3) budget artistes définitif avec cachets réels.</t>
        </is>
      </c>
    </row>
  </sheetData>
  <mergeCells count="9">
    <mergeCell ref="A4:E4"/>
    <mergeCell ref="A39:B42"/>
    <mergeCell ref="A26:E26"/>
    <mergeCell ref="A38:E38"/>
    <mergeCell ref="A2:E2"/>
    <mergeCell ref="A43:E43"/>
    <mergeCell ref="A15:E15"/>
    <mergeCell ref="A1:E1"/>
    <mergeCell ref="C39:E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2026-03-20T11:41:15Z</dcterms:created>
  <dcterms:modified xmlns:dcterms="http://purl.org/dc/terms/" xmlns:xsi="http://www.w3.org/2001/XMLSchema-instance" xsi:type="dcterms:W3CDTF">2026-03-27T11:29:57Z</dcterms:modified>
  <cp:revision>0</cp:revision>
</cp:coreProperties>
</file>